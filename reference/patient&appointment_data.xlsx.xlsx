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k-PC\Documents\Mini Project\Healthcare Patient &amp; Appointment Data Analysis\"/>
    </mc:Choice>
  </mc:AlternateContent>
  <xr:revisionPtr revIDLastSave="0" documentId="8_{FC486AF0-83E1-467A-A56E-D11BC1BB32DB}" xr6:coauthVersionLast="47" xr6:coauthVersionMax="47" xr10:uidLastSave="{00000000-0000-0000-0000-000000000000}"/>
  <bookViews>
    <workbookView xWindow="-120" yWindow="-120" windowWidth="20730" windowHeight="11040" activeTab="3" xr2:uid="{60146DFE-718C-44D6-8AF6-BAAF978A2CD1}"/>
  </bookViews>
  <sheets>
    <sheet name="patient_data_formula" sheetId="1" r:id="rId1"/>
    <sheet name="appointment_formula" sheetId="3" r:id="rId2"/>
    <sheet name="patient_data" sheetId="2" r:id="rId3"/>
    <sheet name="appointment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51" i="3" l="1"/>
  <c r="B351" i="3"/>
  <c r="C351" i="3"/>
  <c r="D351" i="3"/>
  <c r="E351" i="3"/>
  <c r="F351" i="3"/>
  <c r="G351" i="3"/>
  <c r="A351" i="1"/>
  <c r="B351" i="1"/>
  <c r="C351" i="1"/>
  <c r="D351" i="1" s="1"/>
  <c r="E351" i="1"/>
  <c r="H351" i="1" s="1"/>
  <c r="F351" i="1"/>
  <c r="G351" i="1"/>
  <c r="I351" i="1" l="1"/>
  <c r="A3" i="3"/>
  <c r="B3" i="3"/>
  <c r="C3" i="3"/>
  <c r="D3" i="3"/>
  <c r="E3" i="3"/>
  <c r="F3" i="3"/>
  <c r="G3" i="3"/>
  <c r="A4" i="3"/>
  <c r="B4" i="3"/>
  <c r="C4" i="3"/>
  <c r="D4" i="3"/>
  <c r="E4" i="3"/>
  <c r="F4" i="3"/>
  <c r="G4" i="3"/>
  <c r="A5" i="3"/>
  <c r="B5" i="3"/>
  <c r="C5" i="3"/>
  <c r="D5" i="3"/>
  <c r="E5" i="3"/>
  <c r="F5" i="3"/>
  <c r="G5" i="3"/>
  <c r="A6" i="3"/>
  <c r="B6" i="3"/>
  <c r="C6" i="3"/>
  <c r="D6" i="3"/>
  <c r="E6" i="3"/>
  <c r="F6" i="3"/>
  <c r="G6" i="3"/>
  <c r="A7" i="3"/>
  <c r="B7" i="3"/>
  <c r="C7" i="3"/>
  <c r="D7" i="3"/>
  <c r="E7" i="3"/>
  <c r="F7" i="3"/>
  <c r="G7" i="3"/>
  <c r="A8" i="3"/>
  <c r="B8" i="3"/>
  <c r="C8" i="3"/>
  <c r="D8" i="3"/>
  <c r="E8" i="3"/>
  <c r="F8" i="3"/>
  <c r="G8" i="3"/>
  <c r="A9" i="3"/>
  <c r="B9" i="3"/>
  <c r="C9" i="3"/>
  <c r="D9" i="3"/>
  <c r="E9" i="3"/>
  <c r="F9" i="3"/>
  <c r="G9" i="3"/>
  <c r="A10" i="3"/>
  <c r="B10" i="3"/>
  <c r="C10" i="3"/>
  <c r="D10" i="3"/>
  <c r="E10" i="3"/>
  <c r="F10" i="3"/>
  <c r="G10" i="3"/>
  <c r="A11" i="3"/>
  <c r="B11" i="3"/>
  <c r="C11" i="3"/>
  <c r="D11" i="3"/>
  <c r="E11" i="3"/>
  <c r="F11" i="3"/>
  <c r="G11" i="3"/>
  <c r="A12" i="3"/>
  <c r="B12" i="3"/>
  <c r="C12" i="3"/>
  <c r="D12" i="3"/>
  <c r="E12" i="3"/>
  <c r="F12" i="3"/>
  <c r="G12" i="3"/>
  <c r="A13" i="3"/>
  <c r="B13" i="3"/>
  <c r="C13" i="3"/>
  <c r="D13" i="3"/>
  <c r="E13" i="3"/>
  <c r="F13" i="3"/>
  <c r="G13" i="3"/>
  <c r="A14" i="3"/>
  <c r="B14" i="3"/>
  <c r="C14" i="3"/>
  <c r="D14" i="3"/>
  <c r="E14" i="3"/>
  <c r="F14" i="3"/>
  <c r="G14" i="3"/>
  <c r="A15" i="3"/>
  <c r="B15" i="3"/>
  <c r="C15" i="3"/>
  <c r="D15" i="3"/>
  <c r="E15" i="3"/>
  <c r="F15" i="3"/>
  <c r="G15" i="3"/>
  <c r="A16" i="3"/>
  <c r="B16" i="3"/>
  <c r="C16" i="3"/>
  <c r="D16" i="3"/>
  <c r="E16" i="3"/>
  <c r="F16" i="3"/>
  <c r="G16" i="3"/>
  <c r="A17" i="3"/>
  <c r="B17" i="3"/>
  <c r="C17" i="3"/>
  <c r="D17" i="3"/>
  <c r="E17" i="3"/>
  <c r="F17" i="3"/>
  <c r="G17" i="3"/>
  <c r="A18" i="3"/>
  <c r="B18" i="3"/>
  <c r="C18" i="3"/>
  <c r="D18" i="3"/>
  <c r="E18" i="3"/>
  <c r="F18" i="3"/>
  <c r="G18" i="3"/>
  <c r="A19" i="3"/>
  <c r="B19" i="3"/>
  <c r="C19" i="3"/>
  <c r="D19" i="3"/>
  <c r="E19" i="3"/>
  <c r="F19" i="3"/>
  <c r="G19" i="3"/>
  <c r="A20" i="3"/>
  <c r="B20" i="3"/>
  <c r="C20" i="3"/>
  <c r="D20" i="3"/>
  <c r="E20" i="3"/>
  <c r="F20" i="3"/>
  <c r="G20" i="3"/>
  <c r="A21" i="3"/>
  <c r="B21" i="3"/>
  <c r="C21" i="3"/>
  <c r="D21" i="3"/>
  <c r="E21" i="3"/>
  <c r="F21" i="3"/>
  <c r="G21" i="3"/>
  <c r="A22" i="3"/>
  <c r="B22" i="3"/>
  <c r="C22" i="3"/>
  <c r="D22" i="3"/>
  <c r="E22" i="3"/>
  <c r="F22" i="3"/>
  <c r="G22" i="3"/>
  <c r="A23" i="3"/>
  <c r="B23" i="3"/>
  <c r="C23" i="3"/>
  <c r="D23" i="3"/>
  <c r="E23" i="3"/>
  <c r="F23" i="3"/>
  <c r="G23" i="3"/>
  <c r="A24" i="3"/>
  <c r="B24" i="3"/>
  <c r="C24" i="3"/>
  <c r="D24" i="3"/>
  <c r="E24" i="3"/>
  <c r="F24" i="3"/>
  <c r="G24" i="3"/>
  <c r="A25" i="3"/>
  <c r="B25" i="3"/>
  <c r="C25" i="3"/>
  <c r="D25" i="3"/>
  <c r="E25" i="3"/>
  <c r="F25" i="3"/>
  <c r="G25" i="3"/>
  <c r="A26" i="3"/>
  <c r="B26" i="3"/>
  <c r="C26" i="3"/>
  <c r="D26" i="3"/>
  <c r="E26" i="3"/>
  <c r="F26" i="3"/>
  <c r="G26" i="3"/>
  <c r="A27" i="3"/>
  <c r="B27" i="3"/>
  <c r="C27" i="3"/>
  <c r="D27" i="3"/>
  <c r="E27" i="3"/>
  <c r="F27" i="3"/>
  <c r="G27" i="3"/>
  <c r="A28" i="3"/>
  <c r="B28" i="3"/>
  <c r="C28" i="3"/>
  <c r="D28" i="3"/>
  <c r="E28" i="3"/>
  <c r="F28" i="3"/>
  <c r="G28" i="3"/>
  <c r="A29" i="3"/>
  <c r="B29" i="3"/>
  <c r="C29" i="3"/>
  <c r="D29" i="3"/>
  <c r="E29" i="3"/>
  <c r="F29" i="3"/>
  <c r="G29" i="3"/>
  <c r="A30" i="3"/>
  <c r="B30" i="3"/>
  <c r="C30" i="3"/>
  <c r="D30" i="3"/>
  <c r="E30" i="3"/>
  <c r="F30" i="3"/>
  <c r="G30" i="3"/>
  <c r="A31" i="3"/>
  <c r="B31" i="3"/>
  <c r="C31" i="3"/>
  <c r="D31" i="3"/>
  <c r="E31" i="3"/>
  <c r="F31" i="3"/>
  <c r="G31" i="3"/>
  <c r="A32" i="3"/>
  <c r="B32" i="3"/>
  <c r="C32" i="3"/>
  <c r="D32" i="3"/>
  <c r="E32" i="3"/>
  <c r="F32" i="3"/>
  <c r="G32" i="3"/>
  <c r="A33" i="3"/>
  <c r="B33" i="3"/>
  <c r="C33" i="3"/>
  <c r="D33" i="3"/>
  <c r="E33" i="3"/>
  <c r="F33" i="3"/>
  <c r="G33" i="3"/>
  <c r="A34" i="3"/>
  <c r="B34" i="3"/>
  <c r="C34" i="3"/>
  <c r="D34" i="3"/>
  <c r="E34" i="3"/>
  <c r="F34" i="3"/>
  <c r="G34" i="3"/>
  <c r="A35" i="3"/>
  <c r="B35" i="3"/>
  <c r="C35" i="3"/>
  <c r="D35" i="3"/>
  <c r="E35" i="3"/>
  <c r="F35" i="3"/>
  <c r="G35" i="3"/>
  <c r="A36" i="3"/>
  <c r="B36" i="3"/>
  <c r="C36" i="3"/>
  <c r="D36" i="3"/>
  <c r="E36" i="3"/>
  <c r="F36" i="3"/>
  <c r="G36" i="3"/>
  <c r="A37" i="3"/>
  <c r="B37" i="3"/>
  <c r="C37" i="3"/>
  <c r="D37" i="3"/>
  <c r="E37" i="3"/>
  <c r="F37" i="3"/>
  <c r="G37" i="3"/>
  <c r="A38" i="3"/>
  <c r="B38" i="3"/>
  <c r="C38" i="3"/>
  <c r="D38" i="3"/>
  <c r="E38" i="3"/>
  <c r="F38" i="3"/>
  <c r="G38" i="3"/>
  <c r="A39" i="3"/>
  <c r="B39" i="3"/>
  <c r="C39" i="3"/>
  <c r="D39" i="3"/>
  <c r="E39" i="3"/>
  <c r="F39" i="3"/>
  <c r="G39" i="3"/>
  <c r="A40" i="3"/>
  <c r="B40" i="3"/>
  <c r="C40" i="3"/>
  <c r="D40" i="3"/>
  <c r="E40" i="3"/>
  <c r="F40" i="3"/>
  <c r="G40" i="3"/>
  <c r="A41" i="3"/>
  <c r="B41" i="3"/>
  <c r="C41" i="3"/>
  <c r="D41" i="3"/>
  <c r="E41" i="3"/>
  <c r="F41" i="3"/>
  <c r="G41" i="3"/>
  <c r="A42" i="3"/>
  <c r="B42" i="3"/>
  <c r="C42" i="3"/>
  <c r="D42" i="3"/>
  <c r="E42" i="3"/>
  <c r="F42" i="3"/>
  <c r="G42" i="3"/>
  <c r="A43" i="3"/>
  <c r="B43" i="3"/>
  <c r="C43" i="3"/>
  <c r="D43" i="3"/>
  <c r="E43" i="3"/>
  <c r="F43" i="3"/>
  <c r="G43" i="3"/>
  <c r="A44" i="3"/>
  <c r="B44" i="3"/>
  <c r="C44" i="3"/>
  <c r="D44" i="3"/>
  <c r="E44" i="3"/>
  <c r="F44" i="3"/>
  <c r="G44" i="3"/>
  <c r="A45" i="3"/>
  <c r="B45" i="3"/>
  <c r="C45" i="3"/>
  <c r="D45" i="3"/>
  <c r="E45" i="3"/>
  <c r="F45" i="3"/>
  <c r="G45" i="3"/>
  <c r="A46" i="3"/>
  <c r="B46" i="3"/>
  <c r="C46" i="3"/>
  <c r="D46" i="3"/>
  <c r="E46" i="3"/>
  <c r="F46" i="3"/>
  <c r="G46" i="3"/>
  <c r="A47" i="3"/>
  <c r="B47" i="3"/>
  <c r="C47" i="3"/>
  <c r="D47" i="3"/>
  <c r="E47" i="3"/>
  <c r="F47" i="3"/>
  <c r="G47" i="3"/>
  <c r="A48" i="3"/>
  <c r="B48" i="3"/>
  <c r="C48" i="3"/>
  <c r="D48" i="3"/>
  <c r="E48" i="3"/>
  <c r="F48" i="3"/>
  <c r="G48" i="3"/>
  <c r="A49" i="3"/>
  <c r="B49" i="3"/>
  <c r="C49" i="3"/>
  <c r="D49" i="3"/>
  <c r="E49" i="3"/>
  <c r="F49" i="3"/>
  <c r="G49" i="3"/>
  <c r="A50" i="3"/>
  <c r="B50" i="3"/>
  <c r="C50" i="3"/>
  <c r="D50" i="3"/>
  <c r="E50" i="3"/>
  <c r="F50" i="3"/>
  <c r="G50" i="3"/>
  <c r="A51" i="3"/>
  <c r="B51" i="3"/>
  <c r="C51" i="3"/>
  <c r="D51" i="3"/>
  <c r="E51" i="3"/>
  <c r="F51" i="3"/>
  <c r="G51" i="3"/>
  <c r="A52" i="3"/>
  <c r="B52" i="3"/>
  <c r="C52" i="3"/>
  <c r="D52" i="3"/>
  <c r="E52" i="3"/>
  <c r="F52" i="3"/>
  <c r="G52" i="3"/>
  <c r="A53" i="3"/>
  <c r="B53" i="3"/>
  <c r="C53" i="3"/>
  <c r="D53" i="3"/>
  <c r="E53" i="3"/>
  <c r="F53" i="3"/>
  <c r="G53" i="3"/>
  <c r="A54" i="3"/>
  <c r="B54" i="3"/>
  <c r="C54" i="3"/>
  <c r="D54" i="3"/>
  <c r="E54" i="3"/>
  <c r="F54" i="3"/>
  <c r="G54" i="3"/>
  <c r="A55" i="3"/>
  <c r="B55" i="3"/>
  <c r="C55" i="3"/>
  <c r="D55" i="3"/>
  <c r="E55" i="3"/>
  <c r="F55" i="3"/>
  <c r="G55" i="3"/>
  <c r="A56" i="3"/>
  <c r="B56" i="3"/>
  <c r="C56" i="3"/>
  <c r="D56" i="3"/>
  <c r="E56" i="3"/>
  <c r="F56" i="3"/>
  <c r="G56" i="3"/>
  <c r="A57" i="3"/>
  <c r="B57" i="3"/>
  <c r="C57" i="3"/>
  <c r="D57" i="3"/>
  <c r="E57" i="3"/>
  <c r="F57" i="3"/>
  <c r="G57" i="3"/>
  <c r="A58" i="3"/>
  <c r="B58" i="3"/>
  <c r="C58" i="3"/>
  <c r="D58" i="3"/>
  <c r="E58" i="3"/>
  <c r="F58" i="3"/>
  <c r="G58" i="3"/>
  <c r="A59" i="3"/>
  <c r="B59" i="3"/>
  <c r="C59" i="3"/>
  <c r="D59" i="3"/>
  <c r="E59" i="3"/>
  <c r="F59" i="3"/>
  <c r="G59" i="3"/>
  <c r="A60" i="3"/>
  <c r="B60" i="3"/>
  <c r="C60" i="3"/>
  <c r="D60" i="3"/>
  <c r="E60" i="3"/>
  <c r="F60" i="3"/>
  <c r="G60" i="3"/>
  <c r="A61" i="3"/>
  <c r="B61" i="3"/>
  <c r="C61" i="3"/>
  <c r="D61" i="3"/>
  <c r="E61" i="3"/>
  <c r="F61" i="3"/>
  <c r="G61" i="3"/>
  <c r="A62" i="3"/>
  <c r="B62" i="3"/>
  <c r="C62" i="3"/>
  <c r="D62" i="3"/>
  <c r="E62" i="3"/>
  <c r="F62" i="3"/>
  <c r="G62" i="3"/>
  <c r="A63" i="3"/>
  <c r="B63" i="3"/>
  <c r="C63" i="3"/>
  <c r="D63" i="3"/>
  <c r="E63" i="3"/>
  <c r="F63" i="3"/>
  <c r="G63" i="3"/>
  <c r="A64" i="3"/>
  <c r="B64" i="3"/>
  <c r="C64" i="3"/>
  <c r="D64" i="3"/>
  <c r="E64" i="3"/>
  <c r="F64" i="3"/>
  <c r="G64" i="3"/>
  <c r="A65" i="3"/>
  <c r="B65" i="3"/>
  <c r="C65" i="3"/>
  <c r="D65" i="3"/>
  <c r="E65" i="3"/>
  <c r="F65" i="3"/>
  <c r="G65" i="3"/>
  <c r="A66" i="3"/>
  <c r="B66" i="3"/>
  <c r="C66" i="3"/>
  <c r="D66" i="3"/>
  <c r="E66" i="3"/>
  <c r="F66" i="3"/>
  <c r="G66" i="3"/>
  <c r="A67" i="3"/>
  <c r="B67" i="3"/>
  <c r="C67" i="3"/>
  <c r="D67" i="3"/>
  <c r="E67" i="3"/>
  <c r="F67" i="3"/>
  <c r="G67" i="3"/>
  <c r="A68" i="3"/>
  <c r="B68" i="3"/>
  <c r="C68" i="3"/>
  <c r="D68" i="3"/>
  <c r="E68" i="3"/>
  <c r="F68" i="3"/>
  <c r="G68" i="3"/>
  <c r="A69" i="3"/>
  <c r="B69" i="3"/>
  <c r="C69" i="3"/>
  <c r="D69" i="3"/>
  <c r="E69" i="3"/>
  <c r="F69" i="3"/>
  <c r="G69" i="3"/>
  <c r="A70" i="3"/>
  <c r="B70" i="3"/>
  <c r="C70" i="3"/>
  <c r="D70" i="3"/>
  <c r="E70" i="3"/>
  <c r="F70" i="3"/>
  <c r="G70" i="3"/>
  <c r="A71" i="3"/>
  <c r="B71" i="3"/>
  <c r="C71" i="3"/>
  <c r="D71" i="3"/>
  <c r="E71" i="3"/>
  <c r="F71" i="3"/>
  <c r="G71" i="3"/>
  <c r="A72" i="3"/>
  <c r="B72" i="3"/>
  <c r="C72" i="3"/>
  <c r="D72" i="3"/>
  <c r="E72" i="3"/>
  <c r="F72" i="3"/>
  <c r="G72" i="3"/>
  <c r="A73" i="3"/>
  <c r="B73" i="3"/>
  <c r="C73" i="3"/>
  <c r="D73" i="3"/>
  <c r="E73" i="3"/>
  <c r="F73" i="3"/>
  <c r="G73" i="3"/>
  <c r="A74" i="3"/>
  <c r="B74" i="3"/>
  <c r="C74" i="3"/>
  <c r="D74" i="3"/>
  <c r="E74" i="3"/>
  <c r="F74" i="3"/>
  <c r="G74" i="3"/>
  <c r="A75" i="3"/>
  <c r="B75" i="3"/>
  <c r="C75" i="3"/>
  <c r="D75" i="3"/>
  <c r="E75" i="3"/>
  <c r="F75" i="3"/>
  <c r="G75" i="3"/>
  <c r="A76" i="3"/>
  <c r="B76" i="3"/>
  <c r="C76" i="3"/>
  <c r="D76" i="3"/>
  <c r="E76" i="3"/>
  <c r="F76" i="3"/>
  <c r="G76" i="3"/>
  <c r="A77" i="3"/>
  <c r="B77" i="3"/>
  <c r="C77" i="3"/>
  <c r="D77" i="3"/>
  <c r="E77" i="3"/>
  <c r="F77" i="3"/>
  <c r="G77" i="3"/>
  <c r="A78" i="3"/>
  <c r="B78" i="3"/>
  <c r="C78" i="3"/>
  <c r="D78" i="3"/>
  <c r="E78" i="3"/>
  <c r="F78" i="3"/>
  <c r="G78" i="3"/>
  <c r="A79" i="3"/>
  <c r="B79" i="3"/>
  <c r="C79" i="3"/>
  <c r="D79" i="3"/>
  <c r="E79" i="3"/>
  <c r="F79" i="3"/>
  <c r="G79" i="3"/>
  <c r="A80" i="3"/>
  <c r="B80" i="3"/>
  <c r="C80" i="3"/>
  <c r="D80" i="3"/>
  <c r="E80" i="3"/>
  <c r="F80" i="3"/>
  <c r="G80" i="3"/>
  <c r="A81" i="3"/>
  <c r="B81" i="3"/>
  <c r="C81" i="3"/>
  <c r="D81" i="3"/>
  <c r="E81" i="3"/>
  <c r="F81" i="3"/>
  <c r="G81" i="3"/>
  <c r="A82" i="3"/>
  <c r="B82" i="3"/>
  <c r="C82" i="3"/>
  <c r="D82" i="3"/>
  <c r="E82" i="3"/>
  <c r="F82" i="3"/>
  <c r="G82" i="3"/>
  <c r="A83" i="3"/>
  <c r="B83" i="3"/>
  <c r="C83" i="3"/>
  <c r="D83" i="3"/>
  <c r="E83" i="3"/>
  <c r="F83" i="3"/>
  <c r="G83" i="3"/>
  <c r="A84" i="3"/>
  <c r="B84" i="3"/>
  <c r="C84" i="3"/>
  <c r="D84" i="3"/>
  <c r="E84" i="3"/>
  <c r="F84" i="3"/>
  <c r="G84" i="3"/>
  <c r="A85" i="3"/>
  <c r="B85" i="3"/>
  <c r="C85" i="3"/>
  <c r="D85" i="3"/>
  <c r="E85" i="3"/>
  <c r="F85" i="3"/>
  <c r="G85" i="3"/>
  <c r="A86" i="3"/>
  <c r="B86" i="3"/>
  <c r="C86" i="3"/>
  <c r="D86" i="3"/>
  <c r="E86" i="3"/>
  <c r="F86" i="3"/>
  <c r="G86" i="3"/>
  <c r="A87" i="3"/>
  <c r="B87" i="3"/>
  <c r="C87" i="3"/>
  <c r="D87" i="3"/>
  <c r="E87" i="3"/>
  <c r="F87" i="3"/>
  <c r="G87" i="3"/>
  <c r="A88" i="3"/>
  <c r="B88" i="3"/>
  <c r="C88" i="3"/>
  <c r="D88" i="3"/>
  <c r="E88" i="3"/>
  <c r="F88" i="3"/>
  <c r="G88" i="3"/>
  <c r="A89" i="3"/>
  <c r="B89" i="3"/>
  <c r="C89" i="3"/>
  <c r="D89" i="3"/>
  <c r="E89" i="3"/>
  <c r="F89" i="3"/>
  <c r="G89" i="3"/>
  <c r="A90" i="3"/>
  <c r="B90" i="3"/>
  <c r="C90" i="3"/>
  <c r="D90" i="3"/>
  <c r="E90" i="3"/>
  <c r="F90" i="3"/>
  <c r="G90" i="3"/>
  <c r="A91" i="3"/>
  <c r="B91" i="3"/>
  <c r="C91" i="3"/>
  <c r="D91" i="3"/>
  <c r="E91" i="3"/>
  <c r="F91" i="3"/>
  <c r="G91" i="3"/>
  <c r="A92" i="3"/>
  <c r="B92" i="3"/>
  <c r="C92" i="3"/>
  <c r="D92" i="3"/>
  <c r="E92" i="3"/>
  <c r="F92" i="3"/>
  <c r="G92" i="3"/>
  <c r="A93" i="3"/>
  <c r="B93" i="3"/>
  <c r="C93" i="3"/>
  <c r="D93" i="3"/>
  <c r="E93" i="3"/>
  <c r="F93" i="3"/>
  <c r="G93" i="3"/>
  <c r="A94" i="3"/>
  <c r="B94" i="3"/>
  <c r="C94" i="3"/>
  <c r="D94" i="3"/>
  <c r="E94" i="3"/>
  <c r="F94" i="3"/>
  <c r="G94" i="3"/>
  <c r="A95" i="3"/>
  <c r="B95" i="3"/>
  <c r="C95" i="3"/>
  <c r="D95" i="3"/>
  <c r="E95" i="3"/>
  <c r="F95" i="3"/>
  <c r="G95" i="3"/>
  <c r="A96" i="3"/>
  <c r="B96" i="3"/>
  <c r="C96" i="3"/>
  <c r="D96" i="3"/>
  <c r="E96" i="3"/>
  <c r="F96" i="3"/>
  <c r="G96" i="3"/>
  <c r="A97" i="3"/>
  <c r="B97" i="3"/>
  <c r="C97" i="3"/>
  <c r="D97" i="3"/>
  <c r="E97" i="3"/>
  <c r="F97" i="3"/>
  <c r="G97" i="3"/>
  <c r="A98" i="3"/>
  <c r="B98" i="3"/>
  <c r="C98" i="3"/>
  <c r="D98" i="3"/>
  <c r="E98" i="3"/>
  <c r="F98" i="3"/>
  <c r="G98" i="3"/>
  <c r="A99" i="3"/>
  <c r="B99" i="3"/>
  <c r="C99" i="3"/>
  <c r="D99" i="3"/>
  <c r="E99" i="3"/>
  <c r="F99" i="3"/>
  <c r="G99" i="3"/>
  <c r="A100" i="3"/>
  <c r="B100" i="3"/>
  <c r="C100" i="3"/>
  <c r="D100" i="3"/>
  <c r="E100" i="3"/>
  <c r="F100" i="3"/>
  <c r="G100" i="3"/>
  <c r="A101" i="3"/>
  <c r="B101" i="3"/>
  <c r="C101" i="3"/>
  <c r="D101" i="3"/>
  <c r="E101" i="3"/>
  <c r="F101" i="3"/>
  <c r="G101" i="3"/>
  <c r="A102" i="3"/>
  <c r="B102" i="3"/>
  <c r="C102" i="3"/>
  <c r="D102" i="3"/>
  <c r="E102" i="3"/>
  <c r="F102" i="3"/>
  <c r="G102" i="3"/>
  <c r="A103" i="3"/>
  <c r="B103" i="3"/>
  <c r="C103" i="3"/>
  <c r="D103" i="3"/>
  <c r="E103" i="3"/>
  <c r="F103" i="3"/>
  <c r="G103" i="3"/>
  <c r="A104" i="3"/>
  <c r="B104" i="3"/>
  <c r="C104" i="3"/>
  <c r="D104" i="3"/>
  <c r="E104" i="3"/>
  <c r="F104" i="3"/>
  <c r="G104" i="3"/>
  <c r="A105" i="3"/>
  <c r="B105" i="3"/>
  <c r="C105" i="3"/>
  <c r="D105" i="3"/>
  <c r="E105" i="3"/>
  <c r="F105" i="3"/>
  <c r="G105" i="3"/>
  <c r="A106" i="3"/>
  <c r="B106" i="3"/>
  <c r="C106" i="3"/>
  <c r="D106" i="3"/>
  <c r="E106" i="3"/>
  <c r="F106" i="3"/>
  <c r="G106" i="3"/>
  <c r="A107" i="3"/>
  <c r="B107" i="3"/>
  <c r="C107" i="3"/>
  <c r="D107" i="3"/>
  <c r="E107" i="3"/>
  <c r="F107" i="3"/>
  <c r="G107" i="3"/>
  <c r="A108" i="3"/>
  <c r="B108" i="3"/>
  <c r="C108" i="3"/>
  <c r="D108" i="3"/>
  <c r="E108" i="3"/>
  <c r="F108" i="3"/>
  <c r="G108" i="3"/>
  <c r="A109" i="3"/>
  <c r="B109" i="3"/>
  <c r="C109" i="3"/>
  <c r="D109" i="3"/>
  <c r="E109" i="3"/>
  <c r="F109" i="3"/>
  <c r="G109" i="3"/>
  <c r="A110" i="3"/>
  <c r="B110" i="3"/>
  <c r="C110" i="3"/>
  <c r="D110" i="3"/>
  <c r="E110" i="3"/>
  <c r="F110" i="3"/>
  <c r="G110" i="3"/>
  <c r="A111" i="3"/>
  <c r="B111" i="3"/>
  <c r="C111" i="3"/>
  <c r="D111" i="3"/>
  <c r="E111" i="3"/>
  <c r="F111" i="3"/>
  <c r="G111" i="3"/>
  <c r="A112" i="3"/>
  <c r="B112" i="3"/>
  <c r="C112" i="3"/>
  <c r="D112" i="3"/>
  <c r="E112" i="3"/>
  <c r="F112" i="3"/>
  <c r="G112" i="3"/>
  <c r="A113" i="3"/>
  <c r="B113" i="3"/>
  <c r="C113" i="3"/>
  <c r="D113" i="3"/>
  <c r="E113" i="3"/>
  <c r="F113" i="3"/>
  <c r="G113" i="3"/>
  <c r="A114" i="3"/>
  <c r="B114" i="3"/>
  <c r="C114" i="3"/>
  <c r="D114" i="3"/>
  <c r="E114" i="3"/>
  <c r="F114" i="3"/>
  <c r="G114" i="3"/>
  <c r="A115" i="3"/>
  <c r="B115" i="3"/>
  <c r="C115" i="3"/>
  <c r="D115" i="3"/>
  <c r="E115" i="3"/>
  <c r="F115" i="3"/>
  <c r="G115" i="3"/>
  <c r="A116" i="3"/>
  <c r="B116" i="3"/>
  <c r="C116" i="3"/>
  <c r="D116" i="3"/>
  <c r="E116" i="3"/>
  <c r="F116" i="3"/>
  <c r="G116" i="3"/>
  <c r="A117" i="3"/>
  <c r="B117" i="3"/>
  <c r="C117" i="3"/>
  <c r="D117" i="3"/>
  <c r="E117" i="3"/>
  <c r="F117" i="3"/>
  <c r="G117" i="3"/>
  <c r="A118" i="3"/>
  <c r="B118" i="3"/>
  <c r="C118" i="3"/>
  <c r="D118" i="3"/>
  <c r="E118" i="3"/>
  <c r="F118" i="3"/>
  <c r="G118" i="3"/>
  <c r="A119" i="3"/>
  <c r="B119" i="3"/>
  <c r="C119" i="3"/>
  <c r="D119" i="3"/>
  <c r="E119" i="3"/>
  <c r="F119" i="3"/>
  <c r="G119" i="3"/>
  <c r="A120" i="3"/>
  <c r="B120" i="3"/>
  <c r="C120" i="3"/>
  <c r="D120" i="3"/>
  <c r="E120" i="3"/>
  <c r="F120" i="3"/>
  <c r="G120" i="3"/>
  <c r="A121" i="3"/>
  <c r="B121" i="3"/>
  <c r="C121" i="3"/>
  <c r="D121" i="3"/>
  <c r="E121" i="3"/>
  <c r="F121" i="3"/>
  <c r="G121" i="3"/>
  <c r="A122" i="3"/>
  <c r="B122" i="3"/>
  <c r="C122" i="3"/>
  <c r="D122" i="3"/>
  <c r="E122" i="3"/>
  <c r="F122" i="3"/>
  <c r="G122" i="3"/>
  <c r="A123" i="3"/>
  <c r="B123" i="3"/>
  <c r="C123" i="3"/>
  <c r="D123" i="3"/>
  <c r="E123" i="3"/>
  <c r="F123" i="3"/>
  <c r="G123" i="3"/>
  <c r="A124" i="3"/>
  <c r="B124" i="3"/>
  <c r="C124" i="3"/>
  <c r="D124" i="3"/>
  <c r="E124" i="3"/>
  <c r="F124" i="3"/>
  <c r="G124" i="3"/>
  <c r="A125" i="3"/>
  <c r="B125" i="3"/>
  <c r="C125" i="3"/>
  <c r="D125" i="3"/>
  <c r="E125" i="3"/>
  <c r="F125" i="3"/>
  <c r="G125" i="3"/>
  <c r="A126" i="3"/>
  <c r="B126" i="3"/>
  <c r="C126" i="3"/>
  <c r="D126" i="3"/>
  <c r="E126" i="3"/>
  <c r="F126" i="3"/>
  <c r="G126" i="3"/>
  <c r="A127" i="3"/>
  <c r="B127" i="3"/>
  <c r="C127" i="3"/>
  <c r="D127" i="3"/>
  <c r="E127" i="3"/>
  <c r="F127" i="3"/>
  <c r="G127" i="3"/>
  <c r="A128" i="3"/>
  <c r="B128" i="3"/>
  <c r="C128" i="3"/>
  <c r="D128" i="3"/>
  <c r="E128" i="3"/>
  <c r="F128" i="3"/>
  <c r="G128" i="3"/>
  <c r="A129" i="3"/>
  <c r="B129" i="3"/>
  <c r="C129" i="3"/>
  <c r="D129" i="3"/>
  <c r="E129" i="3"/>
  <c r="F129" i="3"/>
  <c r="G129" i="3"/>
  <c r="A130" i="3"/>
  <c r="B130" i="3"/>
  <c r="C130" i="3"/>
  <c r="D130" i="3"/>
  <c r="E130" i="3"/>
  <c r="F130" i="3"/>
  <c r="G130" i="3"/>
  <c r="A131" i="3"/>
  <c r="B131" i="3"/>
  <c r="C131" i="3"/>
  <c r="D131" i="3"/>
  <c r="E131" i="3"/>
  <c r="F131" i="3"/>
  <c r="G131" i="3"/>
  <c r="A132" i="3"/>
  <c r="B132" i="3"/>
  <c r="C132" i="3"/>
  <c r="D132" i="3"/>
  <c r="E132" i="3"/>
  <c r="F132" i="3"/>
  <c r="G132" i="3"/>
  <c r="A133" i="3"/>
  <c r="B133" i="3"/>
  <c r="C133" i="3"/>
  <c r="D133" i="3"/>
  <c r="E133" i="3"/>
  <c r="F133" i="3"/>
  <c r="G133" i="3"/>
  <c r="A134" i="3"/>
  <c r="B134" i="3"/>
  <c r="C134" i="3"/>
  <c r="D134" i="3"/>
  <c r="E134" i="3"/>
  <c r="F134" i="3"/>
  <c r="G134" i="3"/>
  <c r="A135" i="3"/>
  <c r="B135" i="3"/>
  <c r="C135" i="3"/>
  <c r="D135" i="3"/>
  <c r="E135" i="3"/>
  <c r="F135" i="3"/>
  <c r="G135" i="3"/>
  <c r="A136" i="3"/>
  <c r="B136" i="3"/>
  <c r="C136" i="3"/>
  <c r="D136" i="3"/>
  <c r="E136" i="3"/>
  <c r="F136" i="3"/>
  <c r="G136" i="3"/>
  <c r="A137" i="3"/>
  <c r="B137" i="3"/>
  <c r="C137" i="3"/>
  <c r="D137" i="3"/>
  <c r="E137" i="3"/>
  <c r="F137" i="3"/>
  <c r="G137" i="3"/>
  <c r="A138" i="3"/>
  <c r="B138" i="3"/>
  <c r="C138" i="3"/>
  <c r="D138" i="3"/>
  <c r="E138" i="3"/>
  <c r="F138" i="3"/>
  <c r="G138" i="3"/>
  <c r="A139" i="3"/>
  <c r="B139" i="3"/>
  <c r="C139" i="3"/>
  <c r="D139" i="3"/>
  <c r="E139" i="3"/>
  <c r="F139" i="3"/>
  <c r="G139" i="3"/>
  <c r="A140" i="3"/>
  <c r="B140" i="3"/>
  <c r="C140" i="3"/>
  <c r="D140" i="3"/>
  <c r="E140" i="3"/>
  <c r="F140" i="3"/>
  <c r="G140" i="3"/>
  <c r="A141" i="3"/>
  <c r="B141" i="3"/>
  <c r="C141" i="3"/>
  <c r="D141" i="3"/>
  <c r="E141" i="3"/>
  <c r="F141" i="3"/>
  <c r="G141" i="3"/>
  <c r="A142" i="3"/>
  <c r="B142" i="3"/>
  <c r="C142" i="3"/>
  <c r="D142" i="3"/>
  <c r="E142" i="3"/>
  <c r="F142" i="3"/>
  <c r="G142" i="3"/>
  <c r="A143" i="3"/>
  <c r="B143" i="3"/>
  <c r="C143" i="3"/>
  <c r="D143" i="3"/>
  <c r="E143" i="3"/>
  <c r="F143" i="3"/>
  <c r="G143" i="3"/>
  <c r="A144" i="3"/>
  <c r="B144" i="3"/>
  <c r="C144" i="3"/>
  <c r="D144" i="3"/>
  <c r="E144" i="3"/>
  <c r="F144" i="3"/>
  <c r="G144" i="3"/>
  <c r="A145" i="3"/>
  <c r="B145" i="3"/>
  <c r="C145" i="3"/>
  <c r="D145" i="3"/>
  <c r="E145" i="3"/>
  <c r="F145" i="3"/>
  <c r="G145" i="3"/>
  <c r="A146" i="3"/>
  <c r="B146" i="3"/>
  <c r="C146" i="3"/>
  <c r="D146" i="3"/>
  <c r="E146" i="3"/>
  <c r="F146" i="3"/>
  <c r="G146" i="3"/>
  <c r="A147" i="3"/>
  <c r="B147" i="3"/>
  <c r="C147" i="3"/>
  <c r="D147" i="3"/>
  <c r="E147" i="3"/>
  <c r="F147" i="3"/>
  <c r="G147" i="3"/>
  <c r="A148" i="3"/>
  <c r="B148" i="3"/>
  <c r="C148" i="3"/>
  <c r="D148" i="3"/>
  <c r="E148" i="3"/>
  <c r="F148" i="3"/>
  <c r="G148" i="3"/>
  <c r="A149" i="3"/>
  <c r="B149" i="3"/>
  <c r="C149" i="3"/>
  <c r="D149" i="3"/>
  <c r="E149" i="3"/>
  <c r="F149" i="3"/>
  <c r="G149" i="3"/>
  <c r="A150" i="3"/>
  <c r="B150" i="3"/>
  <c r="C150" i="3"/>
  <c r="D150" i="3"/>
  <c r="E150" i="3"/>
  <c r="F150" i="3"/>
  <c r="G150" i="3"/>
  <c r="A151" i="3"/>
  <c r="B151" i="3"/>
  <c r="C151" i="3"/>
  <c r="D151" i="3"/>
  <c r="E151" i="3"/>
  <c r="F151" i="3"/>
  <c r="G151" i="3"/>
  <c r="A152" i="3"/>
  <c r="B152" i="3"/>
  <c r="C152" i="3"/>
  <c r="D152" i="3"/>
  <c r="E152" i="3"/>
  <c r="F152" i="3"/>
  <c r="G152" i="3"/>
  <c r="A153" i="3"/>
  <c r="B153" i="3"/>
  <c r="C153" i="3"/>
  <c r="D153" i="3"/>
  <c r="E153" i="3"/>
  <c r="F153" i="3"/>
  <c r="G153" i="3"/>
  <c r="A154" i="3"/>
  <c r="B154" i="3"/>
  <c r="C154" i="3"/>
  <c r="D154" i="3"/>
  <c r="E154" i="3"/>
  <c r="F154" i="3"/>
  <c r="G154" i="3"/>
  <c r="A155" i="3"/>
  <c r="B155" i="3"/>
  <c r="C155" i="3"/>
  <c r="D155" i="3"/>
  <c r="E155" i="3"/>
  <c r="F155" i="3"/>
  <c r="G155" i="3"/>
  <c r="A156" i="3"/>
  <c r="B156" i="3"/>
  <c r="C156" i="3"/>
  <c r="D156" i="3"/>
  <c r="E156" i="3"/>
  <c r="F156" i="3"/>
  <c r="G156" i="3"/>
  <c r="A157" i="3"/>
  <c r="B157" i="3"/>
  <c r="C157" i="3"/>
  <c r="D157" i="3"/>
  <c r="E157" i="3"/>
  <c r="F157" i="3"/>
  <c r="G157" i="3"/>
  <c r="A158" i="3"/>
  <c r="B158" i="3"/>
  <c r="C158" i="3"/>
  <c r="D158" i="3"/>
  <c r="E158" i="3"/>
  <c r="F158" i="3"/>
  <c r="G158" i="3"/>
  <c r="A159" i="3"/>
  <c r="B159" i="3"/>
  <c r="C159" i="3"/>
  <c r="D159" i="3"/>
  <c r="E159" i="3"/>
  <c r="F159" i="3"/>
  <c r="G159" i="3"/>
  <c r="A160" i="3"/>
  <c r="B160" i="3"/>
  <c r="C160" i="3"/>
  <c r="D160" i="3"/>
  <c r="E160" i="3"/>
  <c r="F160" i="3"/>
  <c r="G160" i="3"/>
  <c r="A161" i="3"/>
  <c r="B161" i="3"/>
  <c r="C161" i="3"/>
  <c r="D161" i="3"/>
  <c r="E161" i="3"/>
  <c r="F161" i="3"/>
  <c r="G161" i="3"/>
  <c r="A162" i="3"/>
  <c r="B162" i="3"/>
  <c r="C162" i="3"/>
  <c r="D162" i="3"/>
  <c r="E162" i="3"/>
  <c r="F162" i="3"/>
  <c r="G162" i="3"/>
  <c r="A163" i="3"/>
  <c r="B163" i="3"/>
  <c r="C163" i="3"/>
  <c r="D163" i="3"/>
  <c r="E163" i="3"/>
  <c r="F163" i="3"/>
  <c r="G163" i="3"/>
  <c r="A164" i="3"/>
  <c r="B164" i="3"/>
  <c r="C164" i="3"/>
  <c r="D164" i="3"/>
  <c r="E164" i="3"/>
  <c r="F164" i="3"/>
  <c r="G164" i="3"/>
  <c r="A165" i="3"/>
  <c r="B165" i="3"/>
  <c r="C165" i="3"/>
  <c r="D165" i="3"/>
  <c r="E165" i="3"/>
  <c r="F165" i="3"/>
  <c r="G165" i="3"/>
  <c r="A166" i="3"/>
  <c r="B166" i="3"/>
  <c r="C166" i="3"/>
  <c r="D166" i="3"/>
  <c r="E166" i="3"/>
  <c r="F166" i="3"/>
  <c r="G166" i="3"/>
  <c r="A167" i="3"/>
  <c r="B167" i="3"/>
  <c r="C167" i="3"/>
  <c r="D167" i="3"/>
  <c r="E167" i="3"/>
  <c r="F167" i="3"/>
  <c r="G167" i="3"/>
  <c r="A168" i="3"/>
  <c r="B168" i="3"/>
  <c r="C168" i="3"/>
  <c r="D168" i="3"/>
  <c r="E168" i="3"/>
  <c r="F168" i="3"/>
  <c r="G168" i="3"/>
  <c r="A169" i="3"/>
  <c r="B169" i="3"/>
  <c r="C169" i="3"/>
  <c r="D169" i="3"/>
  <c r="E169" i="3"/>
  <c r="F169" i="3"/>
  <c r="G169" i="3"/>
  <c r="A170" i="3"/>
  <c r="B170" i="3"/>
  <c r="C170" i="3"/>
  <c r="D170" i="3"/>
  <c r="E170" i="3"/>
  <c r="F170" i="3"/>
  <c r="G170" i="3"/>
  <c r="A171" i="3"/>
  <c r="B171" i="3"/>
  <c r="C171" i="3"/>
  <c r="D171" i="3"/>
  <c r="E171" i="3"/>
  <c r="F171" i="3"/>
  <c r="G171" i="3"/>
  <c r="A172" i="3"/>
  <c r="B172" i="3"/>
  <c r="C172" i="3"/>
  <c r="D172" i="3"/>
  <c r="E172" i="3"/>
  <c r="F172" i="3"/>
  <c r="G172" i="3"/>
  <c r="A173" i="3"/>
  <c r="B173" i="3"/>
  <c r="C173" i="3"/>
  <c r="D173" i="3"/>
  <c r="E173" i="3"/>
  <c r="F173" i="3"/>
  <c r="G173" i="3"/>
  <c r="A174" i="3"/>
  <c r="B174" i="3"/>
  <c r="C174" i="3"/>
  <c r="D174" i="3"/>
  <c r="E174" i="3"/>
  <c r="F174" i="3"/>
  <c r="G174" i="3"/>
  <c r="A175" i="3"/>
  <c r="B175" i="3"/>
  <c r="C175" i="3"/>
  <c r="D175" i="3"/>
  <c r="E175" i="3"/>
  <c r="F175" i="3"/>
  <c r="G175" i="3"/>
  <c r="A176" i="3"/>
  <c r="B176" i="3"/>
  <c r="C176" i="3"/>
  <c r="D176" i="3"/>
  <c r="E176" i="3"/>
  <c r="F176" i="3"/>
  <c r="G176" i="3"/>
  <c r="A177" i="3"/>
  <c r="B177" i="3"/>
  <c r="C177" i="3"/>
  <c r="D177" i="3"/>
  <c r="E177" i="3"/>
  <c r="F177" i="3"/>
  <c r="G177" i="3"/>
  <c r="A178" i="3"/>
  <c r="B178" i="3"/>
  <c r="C178" i="3"/>
  <c r="D178" i="3"/>
  <c r="E178" i="3"/>
  <c r="F178" i="3"/>
  <c r="G178" i="3"/>
  <c r="A179" i="3"/>
  <c r="B179" i="3"/>
  <c r="C179" i="3"/>
  <c r="D179" i="3"/>
  <c r="E179" i="3"/>
  <c r="F179" i="3"/>
  <c r="G179" i="3"/>
  <c r="A180" i="3"/>
  <c r="B180" i="3"/>
  <c r="C180" i="3"/>
  <c r="D180" i="3"/>
  <c r="E180" i="3"/>
  <c r="F180" i="3"/>
  <c r="G180" i="3"/>
  <c r="A181" i="3"/>
  <c r="B181" i="3"/>
  <c r="C181" i="3"/>
  <c r="D181" i="3"/>
  <c r="E181" i="3"/>
  <c r="F181" i="3"/>
  <c r="G181" i="3"/>
  <c r="A182" i="3"/>
  <c r="B182" i="3"/>
  <c r="C182" i="3"/>
  <c r="D182" i="3"/>
  <c r="E182" i="3"/>
  <c r="F182" i="3"/>
  <c r="G182" i="3"/>
  <c r="A183" i="3"/>
  <c r="B183" i="3"/>
  <c r="C183" i="3"/>
  <c r="D183" i="3"/>
  <c r="E183" i="3"/>
  <c r="F183" i="3"/>
  <c r="G183" i="3"/>
  <c r="A184" i="3"/>
  <c r="B184" i="3"/>
  <c r="C184" i="3"/>
  <c r="D184" i="3"/>
  <c r="E184" i="3"/>
  <c r="F184" i="3"/>
  <c r="G184" i="3"/>
  <c r="A185" i="3"/>
  <c r="B185" i="3"/>
  <c r="C185" i="3"/>
  <c r="D185" i="3"/>
  <c r="E185" i="3"/>
  <c r="F185" i="3"/>
  <c r="G185" i="3"/>
  <c r="A186" i="3"/>
  <c r="B186" i="3"/>
  <c r="C186" i="3"/>
  <c r="D186" i="3"/>
  <c r="E186" i="3"/>
  <c r="F186" i="3"/>
  <c r="G186" i="3"/>
  <c r="A187" i="3"/>
  <c r="B187" i="3"/>
  <c r="C187" i="3"/>
  <c r="D187" i="3"/>
  <c r="E187" i="3"/>
  <c r="F187" i="3"/>
  <c r="G187" i="3"/>
  <c r="A188" i="3"/>
  <c r="B188" i="3"/>
  <c r="C188" i="3"/>
  <c r="D188" i="3"/>
  <c r="E188" i="3"/>
  <c r="F188" i="3"/>
  <c r="G188" i="3"/>
  <c r="A189" i="3"/>
  <c r="B189" i="3"/>
  <c r="C189" i="3"/>
  <c r="D189" i="3"/>
  <c r="E189" i="3"/>
  <c r="F189" i="3"/>
  <c r="G189" i="3"/>
  <c r="A190" i="3"/>
  <c r="B190" i="3"/>
  <c r="C190" i="3"/>
  <c r="D190" i="3"/>
  <c r="E190" i="3"/>
  <c r="F190" i="3"/>
  <c r="G190" i="3"/>
  <c r="A191" i="3"/>
  <c r="B191" i="3"/>
  <c r="C191" i="3"/>
  <c r="D191" i="3"/>
  <c r="E191" i="3"/>
  <c r="F191" i="3"/>
  <c r="G191" i="3"/>
  <c r="A192" i="3"/>
  <c r="B192" i="3"/>
  <c r="C192" i="3"/>
  <c r="D192" i="3"/>
  <c r="E192" i="3"/>
  <c r="F192" i="3"/>
  <c r="G192" i="3"/>
  <c r="A193" i="3"/>
  <c r="B193" i="3"/>
  <c r="C193" i="3"/>
  <c r="D193" i="3"/>
  <c r="E193" i="3"/>
  <c r="F193" i="3"/>
  <c r="G193" i="3"/>
  <c r="A194" i="3"/>
  <c r="B194" i="3"/>
  <c r="C194" i="3"/>
  <c r="D194" i="3"/>
  <c r="E194" i="3"/>
  <c r="F194" i="3"/>
  <c r="G194" i="3"/>
  <c r="A195" i="3"/>
  <c r="B195" i="3"/>
  <c r="C195" i="3"/>
  <c r="D195" i="3"/>
  <c r="E195" i="3"/>
  <c r="F195" i="3"/>
  <c r="G195" i="3"/>
  <c r="A196" i="3"/>
  <c r="B196" i="3"/>
  <c r="C196" i="3"/>
  <c r="D196" i="3"/>
  <c r="E196" i="3"/>
  <c r="F196" i="3"/>
  <c r="G196" i="3"/>
  <c r="A197" i="3"/>
  <c r="B197" i="3"/>
  <c r="C197" i="3"/>
  <c r="D197" i="3"/>
  <c r="E197" i="3"/>
  <c r="F197" i="3"/>
  <c r="G197" i="3"/>
  <c r="A198" i="3"/>
  <c r="B198" i="3"/>
  <c r="C198" i="3"/>
  <c r="D198" i="3"/>
  <c r="E198" i="3"/>
  <c r="F198" i="3"/>
  <c r="G198" i="3"/>
  <c r="A199" i="3"/>
  <c r="B199" i="3"/>
  <c r="C199" i="3"/>
  <c r="D199" i="3"/>
  <c r="E199" i="3"/>
  <c r="F199" i="3"/>
  <c r="G199" i="3"/>
  <c r="A200" i="3"/>
  <c r="B200" i="3"/>
  <c r="C200" i="3"/>
  <c r="D200" i="3"/>
  <c r="E200" i="3"/>
  <c r="F200" i="3"/>
  <c r="G200" i="3"/>
  <c r="A201" i="3"/>
  <c r="B201" i="3"/>
  <c r="C201" i="3"/>
  <c r="D201" i="3"/>
  <c r="E201" i="3"/>
  <c r="F201" i="3"/>
  <c r="G201" i="3"/>
  <c r="A202" i="3"/>
  <c r="B202" i="3"/>
  <c r="C202" i="3"/>
  <c r="D202" i="3"/>
  <c r="E202" i="3"/>
  <c r="F202" i="3"/>
  <c r="G202" i="3"/>
  <c r="A203" i="3"/>
  <c r="B203" i="3"/>
  <c r="C203" i="3"/>
  <c r="D203" i="3"/>
  <c r="E203" i="3"/>
  <c r="F203" i="3"/>
  <c r="G203" i="3"/>
  <c r="A204" i="3"/>
  <c r="B204" i="3"/>
  <c r="C204" i="3"/>
  <c r="D204" i="3"/>
  <c r="E204" i="3"/>
  <c r="F204" i="3"/>
  <c r="G204" i="3"/>
  <c r="A205" i="3"/>
  <c r="B205" i="3"/>
  <c r="C205" i="3"/>
  <c r="D205" i="3"/>
  <c r="E205" i="3"/>
  <c r="F205" i="3"/>
  <c r="G205" i="3"/>
  <c r="A206" i="3"/>
  <c r="B206" i="3"/>
  <c r="C206" i="3"/>
  <c r="D206" i="3"/>
  <c r="E206" i="3"/>
  <c r="F206" i="3"/>
  <c r="G206" i="3"/>
  <c r="A207" i="3"/>
  <c r="B207" i="3"/>
  <c r="C207" i="3"/>
  <c r="D207" i="3"/>
  <c r="E207" i="3"/>
  <c r="F207" i="3"/>
  <c r="G207" i="3"/>
  <c r="A208" i="3"/>
  <c r="B208" i="3"/>
  <c r="C208" i="3"/>
  <c r="D208" i="3"/>
  <c r="E208" i="3"/>
  <c r="F208" i="3"/>
  <c r="G208" i="3"/>
  <c r="A209" i="3"/>
  <c r="B209" i="3"/>
  <c r="C209" i="3"/>
  <c r="D209" i="3"/>
  <c r="E209" i="3"/>
  <c r="F209" i="3"/>
  <c r="G209" i="3"/>
  <c r="A210" i="3"/>
  <c r="B210" i="3"/>
  <c r="C210" i="3"/>
  <c r="D210" i="3"/>
  <c r="E210" i="3"/>
  <c r="F210" i="3"/>
  <c r="G210" i="3"/>
  <c r="A211" i="3"/>
  <c r="B211" i="3"/>
  <c r="C211" i="3"/>
  <c r="D211" i="3"/>
  <c r="E211" i="3"/>
  <c r="F211" i="3"/>
  <c r="G211" i="3"/>
  <c r="A212" i="3"/>
  <c r="B212" i="3"/>
  <c r="C212" i="3"/>
  <c r="D212" i="3"/>
  <c r="E212" i="3"/>
  <c r="F212" i="3"/>
  <c r="G212" i="3"/>
  <c r="A213" i="3"/>
  <c r="B213" i="3"/>
  <c r="C213" i="3"/>
  <c r="D213" i="3"/>
  <c r="E213" i="3"/>
  <c r="F213" i="3"/>
  <c r="G213" i="3"/>
  <c r="A214" i="3"/>
  <c r="B214" i="3"/>
  <c r="C214" i="3"/>
  <c r="D214" i="3"/>
  <c r="E214" i="3"/>
  <c r="F214" i="3"/>
  <c r="G214" i="3"/>
  <c r="A215" i="3"/>
  <c r="B215" i="3"/>
  <c r="C215" i="3"/>
  <c r="D215" i="3"/>
  <c r="E215" i="3"/>
  <c r="F215" i="3"/>
  <c r="G215" i="3"/>
  <c r="A216" i="3"/>
  <c r="B216" i="3"/>
  <c r="C216" i="3"/>
  <c r="D216" i="3"/>
  <c r="E216" i="3"/>
  <c r="F216" i="3"/>
  <c r="G216" i="3"/>
  <c r="A217" i="3"/>
  <c r="B217" i="3"/>
  <c r="C217" i="3"/>
  <c r="D217" i="3"/>
  <c r="E217" i="3"/>
  <c r="F217" i="3"/>
  <c r="G217" i="3"/>
  <c r="A218" i="3"/>
  <c r="B218" i="3"/>
  <c r="C218" i="3"/>
  <c r="D218" i="3"/>
  <c r="E218" i="3"/>
  <c r="F218" i="3"/>
  <c r="G218" i="3"/>
  <c r="A219" i="3"/>
  <c r="B219" i="3"/>
  <c r="C219" i="3"/>
  <c r="D219" i="3"/>
  <c r="E219" i="3"/>
  <c r="F219" i="3"/>
  <c r="G219" i="3"/>
  <c r="A220" i="3"/>
  <c r="B220" i="3"/>
  <c r="C220" i="3"/>
  <c r="D220" i="3"/>
  <c r="E220" i="3"/>
  <c r="F220" i="3"/>
  <c r="G220" i="3"/>
  <c r="A221" i="3"/>
  <c r="B221" i="3"/>
  <c r="C221" i="3"/>
  <c r="D221" i="3"/>
  <c r="E221" i="3"/>
  <c r="F221" i="3"/>
  <c r="G221" i="3"/>
  <c r="A222" i="3"/>
  <c r="B222" i="3"/>
  <c r="C222" i="3"/>
  <c r="D222" i="3"/>
  <c r="E222" i="3"/>
  <c r="F222" i="3"/>
  <c r="G222" i="3"/>
  <c r="A223" i="3"/>
  <c r="B223" i="3"/>
  <c r="C223" i="3"/>
  <c r="D223" i="3"/>
  <c r="E223" i="3"/>
  <c r="F223" i="3"/>
  <c r="G223" i="3"/>
  <c r="A224" i="3"/>
  <c r="B224" i="3"/>
  <c r="C224" i="3"/>
  <c r="D224" i="3"/>
  <c r="E224" i="3"/>
  <c r="F224" i="3"/>
  <c r="G224" i="3"/>
  <c r="A225" i="3"/>
  <c r="B225" i="3"/>
  <c r="C225" i="3"/>
  <c r="D225" i="3"/>
  <c r="E225" i="3"/>
  <c r="F225" i="3"/>
  <c r="G225" i="3"/>
  <c r="A226" i="3"/>
  <c r="B226" i="3"/>
  <c r="C226" i="3"/>
  <c r="D226" i="3"/>
  <c r="E226" i="3"/>
  <c r="F226" i="3"/>
  <c r="G226" i="3"/>
  <c r="A227" i="3"/>
  <c r="B227" i="3"/>
  <c r="C227" i="3"/>
  <c r="D227" i="3"/>
  <c r="E227" i="3"/>
  <c r="F227" i="3"/>
  <c r="G227" i="3"/>
  <c r="A228" i="3"/>
  <c r="B228" i="3"/>
  <c r="C228" i="3"/>
  <c r="D228" i="3"/>
  <c r="E228" i="3"/>
  <c r="F228" i="3"/>
  <c r="G228" i="3"/>
  <c r="A229" i="3"/>
  <c r="B229" i="3"/>
  <c r="C229" i="3"/>
  <c r="D229" i="3"/>
  <c r="E229" i="3"/>
  <c r="F229" i="3"/>
  <c r="G229" i="3"/>
  <c r="A230" i="3"/>
  <c r="B230" i="3"/>
  <c r="C230" i="3"/>
  <c r="D230" i="3"/>
  <c r="E230" i="3"/>
  <c r="F230" i="3"/>
  <c r="G230" i="3"/>
  <c r="A231" i="3"/>
  <c r="B231" i="3"/>
  <c r="C231" i="3"/>
  <c r="D231" i="3"/>
  <c r="E231" i="3"/>
  <c r="F231" i="3"/>
  <c r="G231" i="3"/>
  <c r="A232" i="3"/>
  <c r="B232" i="3"/>
  <c r="C232" i="3"/>
  <c r="D232" i="3"/>
  <c r="E232" i="3"/>
  <c r="F232" i="3"/>
  <c r="G232" i="3"/>
  <c r="A233" i="3"/>
  <c r="B233" i="3"/>
  <c r="C233" i="3"/>
  <c r="D233" i="3"/>
  <c r="E233" i="3"/>
  <c r="F233" i="3"/>
  <c r="G233" i="3"/>
  <c r="A234" i="3"/>
  <c r="B234" i="3"/>
  <c r="C234" i="3"/>
  <c r="D234" i="3"/>
  <c r="E234" i="3"/>
  <c r="F234" i="3"/>
  <c r="G234" i="3"/>
  <c r="A235" i="3"/>
  <c r="B235" i="3"/>
  <c r="C235" i="3"/>
  <c r="D235" i="3"/>
  <c r="E235" i="3"/>
  <c r="F235" i="3"/>
  <c r="G235" i="3"/>
  <c r="A236" i="3"/>
  <c r="B236" i="3"/>
  <c r="C236" i="3"/>
  <c r="D236" i="3"/>
  <c r="E236" i="3"/>
  <c r="F236" i="3"/>
  <c r="G236" i="3"/>
  <c r="A237" i="3"/>
  <c r="B237" i="3"/>
  <c r="C237" i="3"/>
  <c r="D237" i="3"/>
  <c r="E237" i="3"/>
  <c r="F237" i="3"/>
  <c r="G237" i="3"/>
  <c r="A238" i="3"/>
  <c r="B238" i="3"/>
  <c r="C238" i="3"/>
  <c r="D238" i="3"/>
  <c r="E238" i="3"/>
  <c r="F238" i="3"/>
  <c r="G238" i="3"/>
  <c r="A239" i="3"/>
  <c r="B239" i="3"/>
  <c r="C239" i="3"/>
  <c r="D239" i="3"/>
  <c r="E239" i="3"/>
  <c r="F239" i="3"/>
  <c r="G239" i="3"/>
  <c r="A240" i="3"/>
  <c r="B240" i="3"/>
  <c r="C240" i="3"/>
  <c r="D240" i="3"/>
  <c r="E240" i="3"/>
  <c r="F240" i="3"/>
  <c r="G240" i="3"/>
  <c r="A241" i="3"/>
  <c r="B241" i="3"/>
  <c r="C241" i="3"/>
  <c r="D241" i="3"/>
  <c r="E241" i="3"/>
  <c r="F241" i="3"/>
  <c r="G241" i="3"/>
  <c r="A242" i="3"/>
  <c r="B242" i="3"/>
  <c r="C242" i="3"/>
  <c r="D242" i="3"/>
  <c r="E242" i="3"/>
  <c r="F242" i="3"/>
  <c r="G242" i="3"/>
  <c r="A243" i="3"/>
  <c r="B243" i="3"/>
  <c r="C243" i="3"/>
  <c r="D243" i="3"/>
  <c r="E243" i="3"/>
  <c r="F243" i="3"/>
  <c r="G243" i="3"/>
  <c r="A244" i="3"/>
  <c r="B244" i="3"/>
  <c r="C244" i="3"/>
  <c r="D244" i="3"/>
  <c r="E244" i="3"/>
  <c r="F244" i="3"/>
  <c r="G244" i="3"/>
  <c r="A245" i="3"/>
  <c r="B245" i="3"/>
  <c r="C245" i="3"/>
  <c r="D245" i="3"/>
  <c r="E245" i="3"/>
  <c r="F245" i="3"/>
  <c r="G245" i="3"/>
  <c r="A246" i="3"/>
  <c r="B246" i="3"/>
  <c r="C246" i="3"/>
  <c r="D246" i="3"/>
  <c r="E246" i="3"/>
  <c r="F246" i="3"/>
  <c r="G246" i="3"/>
  <c r="A247" i="3"/>
  <c r="B247" i="3"/>
  <c r="C247" i="3"/>
  <c r="D247" i="3"/>
  <c r="E247" i="3"/>
  <c r="F247" i="3"/>
  <c r="G247" i="3"/>
  <c r="A248" i="3"/>
  <c r="B248" i="3"/>
  <c r="C248" i="3"/>
  <c r="D248" i="3"/>
  <c r="E248" i="3"/>
  <c r="F248" i="3"/>
  <c r="G248" i="3"/>
  <c r="A249" i="3"/>
  <c r="B249" i="3"/>
  <c r="C249" i="3"/>
  <c r="D249" i="3"/>
  <c r="E249" i="3"/>
  <c r="F249" i="3"/>
  <c r="G249" i="3"/>
  <c r="A250" i="3"/>
  <c r="B250" i="3"/>
  <c r="C250" i="3"/>
  <c r="D250" i="3"/>
  <c r="E250" i="3"/>
  <c r="F250" i="3"/>
  <c r="G250" i="3"/>
  <c r="A251" i="3"/>
  <c r="B251" i="3"/>
  <c r="C251" i="3"/>
  <c r="D251" i="3"/>
  <c r="E251" i="3"/>
  <c r="F251" i="3"/>
  <c r="G251" i="3"/>
  <c r="A252" i="3"/>
  <c r="B252" i="3"/>
  <c r="C252" i="3"/>
  <c r="D252" i="3"/>
  <c r="E252" i="3"/>
  <c r="F252" i="3"/>
  <c r="G252" i="3"/>
  <c r="A253" i="3"/>
  <c r="B253" i="3"/>
  <c r="C253" i="3"/>
  <c r="D253" i="3"/>
  <c r="E253" i="3"/>
  <c r="F253" i="3"/>
  <c r="G253" i="3"/>
  <c r="A254" i="3"/>
  <c r="B254" i="3"/>
  <c r="C254" i="3"/>
  <c r="D254" i="3"/>
  <c r="E254" i="3"/>
  <c r="F254" i="3"/>
  <c r="G254" i="3"/>
  <c r="A255" i="3"/>
  <c r="B255" i="3"/>
  <c r="C255" i="3"/>
  <c r="D255" i="3"/>
  <c r="E255" i="3"/>
  <c r="F255" i="3"/>
  <c r="G255" i="3"/>
  <c r="A256" i="3"/>
  <c r="B256" i="3"/>
  <c r="C256" i="3"/>
  <c r="D256" i="3"/>
  <c r="E256" i="3"/>
  <c r="F256" i="3"/>
  <c r="G256" i="3"/>
  <c r="A257" i="3"/>
  <c r="B257" i="3"/>
  <c r="C257" i="3"/>
  <c r="D257" i="3"/>
  <c r="E257" i="3"/>
  <c r="F257" i="3"/>
  <c r="G257" i="3"/>
  <c r="A258" i="3"/>
  <c r="B258" i="3"/>
  <c r="C258" i="3"/>
  <c r="D258" i="3"/>
  <c r="E258" i="3"/>
  <c r="F258" i="3"/>
  <c r="G258" i="3"/>
  <c r="A259" i="3"/>
  <c r="B259" i="3"/>
  <c r="C259" i="3"/>
  <c r="D259" i="3"/>
  <c r="E259" i="3"/>
  <c r="F259" i="3"/>
  <c r="G259" i="3"/>
  <c r="A260" i="3"/>
  <c r="B260" i="3"/>
  <c r="C260" i="3"/>
  <c r="D260" i="3"/>
  <c r="E260" i="3"/>
  <c r="F260" i="3"/>
  <c r="G260" i="3"/>
  <c r="A261" i="3"/>
  <c r="B261" i="3"/>
  <c r="C261" i="3"/>
  <c r="D261" i="3"/>
  <c r="E261" i="3"/>
  <c r="F261" i="3"/>
  <c r="G261" i="3"/>
  <c r="A262" i="3"/>
  <c r="B262" i="3"/>
  <c r="C262" i="3"/>
  <c r="D262" i="3"/>
  <c r="E262" i="3"/>
  <c r="F262" i="3"/>
  <c r="G262" i="3"/>
  <c r="A263" i="3"/>
  <c r="B263" i="3"/>
  <c r="C263" i="3"/>
  <c r="D263" i="3"/>
  <c r="E263" i="3"/>
  <c r="F263" i="3"/>
  <c r="G263" i="3"/>
  <c r="A264" i="3"/>
  <c r="B264" i="3"/>
  <c r="C264" i="3"/>
  <c r="D264" i="3"/>
  <c r="E264" i="3"/>
  <c r="F264" i="3"/>
  <c r="G264" i="3"/>
  <c r="A265" i="3"/>
  <c r="B265" i="3"/>
  <c r="C265" i="3"/>
  <c r="D265" i="3"/>
  <c r="E265" i="3"/>
  <c r="F265" i="3"/>
  <c r="G265" i="3"/>
  <c r="A266" i="3"/>
  <c r="B266" i="3"/>
  <c r="C266" i="3"/>
  <c r="D266" i="3"/>
  <c r="E266" i="3"/>
  <c r="F266" i="3"/>
  <c r="G266" i="3"/>
  <c r="A267" i="3"/>
  <c r="B267" i="3"/>
  <c r="C267" i="3"/>
  <c r="D267" i="3"/>
  <c r="E267" i="3"/>
  <c r="F267" i="3"/>
  <c r="G267" i="3"/>
  <c r="A268" i="3"/>
  <c r="B268" i="3"/>
  <c r="C268" i="3"/>
  <c r="D268" i="3"/>
  <c r="E268" i="3"/>
  <c r="F268" i="3"/>
  <c r="G268" i="3"/>
  <c r="A269" i="3"/>
  <c r="B269" i="3"/>
  <c r="C269" i="3"/>
  <c r="D269" i="3"/>
  <c r="E269" i="3"/>
  <c r="F269" i="3"/>
  <c r="G269" i="3"/>
  <c r="A270" i="3"/>
  <c r="B270" i="3"/>
  <c r="C270" i="3"/>
  <c r="D270" i="3"/>
  <c r="E270" i="3"/>
  <c r="F270" i="3"/>
  <c r="G270" i="3"/>
  <c r="A271" i="3"/>
  <c r="B271" i="3"/>
  <c r="C271" i="3"/>
  <c r="D271" i="3"/>
  <c r="E271" i="3"/>
  <c r="F271" i="3"/>
  <c r="G271" i="3"/>
  <c r="A272" i="3"/>
  <c r="B272" i="3"/>
  <c r="C272" i="3"/>
  <c r="D272" i="3"/>
  <c r="E272" i="3"/>
  <c r="F272" i="3"/>
  <c r="G272" i="3"/>
  <c r="A273" i="3"/>
  <c r="B273" i="3"/>
  <c r="C273" i="3"/>
  <c r="D273" i="3"/>
  <c r="E273" i="3"/>
  <c r="F273" i="3"/>
  <c r="G273" i="3"/>
  <c r="A274" i="3"/>
  <c r="B274" i="3"/>
  <c r="C274" i="3"/>
  <c r="D274" i="3"/>
  <c r="E274" i="3"/>
  <c r="F274" i="3"/>
  <c r="G274" i="3"/>
  <c r="A275" i="3"/>
  <c r="B275" i="3"/>
  <c r="C275" i="3"/>
  <c r="D275" i="3"/>
  <c r="E275" i="3"/>
  <c r="F275" i="3"/>
  <c r="G275" i="3"/>
  <c r="A276" i="3"/>
  <c r="B276" i="3"/>
  <c r="C276" i="3"/>
  <c r="D276" i="3"/>
  <c r="E276" i="3"/>
  <c r="F276" i="3"/>
  <c r="G276" i="3"/>
  <c r="A277" i="3"/>
  <c r="B277" i="3"/>
  <c r="C277" i="3"/>
  <c r="D277" i="3"/>
  <c r="E277" i="3"/>
  <c r="F277" i="3"/>
  <c r="G277" i="3"/>
  <c r="A278" i="3"/>
  <c r="B278" i="3"/>
  <c r="C278" i="3"/>
  <c r="D278" i="3"/>
  <c r="E278" i="3"/>
  <c r="F278" i="3"/>
  <c r="G278" i="3"/>
  <c r="A279" i="3"/>
  <c r="B279" i="3"/>
  <c r="C279" i="3"/>
  <c r="D279" i="3"/>
  <c r="E279" i="3"/>
  <c r="F279" i="3"/>
  <c r="G279" i="3"/>
  <c r="A280" i="3"/>
  <c r="B280" i="3"/>
  <c r="C280" i="3"/>
  <c r="D280" i="3"/>
  <c r="E280" i="3"/>
  <c r="F280" i="3"/>
  <c r="G280" i="3"/>
  <c r="A281" i="3"/>
  <c r="B281" i="3"/>
  <c r="C281" i="3"/>
  <c r="D281" i="3"/>
  <c r="E281" i="3"/>
  <c r="F281" i="3"/>
  <c r="G281" i="3"/>
  <c r="A282" i="3"/>
  <c r="B282" i="3"/>
  <c r="C282" i="3"/>
  <c r="D282" i="3"/>
  <c r="E282" i="3"/>
  <c r="F282" i="3"/>
  <c r="G282" i="3"/>
  <c r="A283" i="3"/>
  <c r="B283" i="3"/>
  <c r="C283" i="3"/>
  <c r="D283" i="3"/>
  <c r="E283" i="3"/>
  <c r="F283" i="3"/>
  <c r="G283" i="3"/>
  <c r="A284" i="3"/>
  <c r="B284" i="3"/>
  <c r="C284" i="3"/>
  <c r="D284" i="3"/>
  <c r="E284" i="3"/>
  <c r="F284" i="3"/>
  <c r="G284" i="3"/>
  <c r="A285" i="3"/>
  <c r="B285" i="3"/>
  <c r="C285" i="3"/>
  <c r="D285" i="3"/>
  <c r="E285" i="3"/>
  <c r="F285" i="3"/>
  <c r="G285" i="3"/>
  <c r="A286" i="3"/>
  <c r="B286" i="3"/>
  <c r="C286" i="3"/>
  <c r="D286" i="3"/>
  <c r="E286" i="3"/>
  <c r="F286" i="3"/>
  <c r="G286" i="3"/>
  <c r="A287" i="3"/>
  <c r="B287" i="3"/>
  <c r="C287" i="3"/>
  <c r="D287" i="3"/>
  <c r="E287" i="3"/>
  <c r="F287" i="3"/>
  <c r="G287" i="3"/>
  <c r="A288" i="3"/>
  <c r="B288" i="3"/>
  <c r="C288" i="3"/>
  <c r="D288" i="3"/>
  <c r="E288" i="3"/>
  <c r="F288" i="3"/>
  <c r="G288" i="3"/>
  <c r="A289" i="3"/>
  <c r="B289" i="3"/>
  <c r="C289" i="3"/>
  <c r="D289" i="3"/>
  <c r="E289" i="3"/>
  <c r="F289" i="3"/>
  <c r="G289" i="3"/>
  <c r="A290" i="3"/>
  <c r="B290" i="3"/>
  <c r="C290" i="3"/>
  <c r="D290" i="3"/>
  <c r="E290" i="3"/>
  <c r="F290" i="3"/>
  <c r="G290" i="3"/>
  <c r="A291" i="3"/>
  <c r="B291" i="3"/>
  <c r="C291" i="3"/>
  <c r="D291" i="3"/>
  <c r="E291" i="3"/>
  <c r="F291" i="3"/>
  <c r="G291" i="3"/>
  <c r="A292" i="3"/>
  <c r="B292" i="3"/>
  <c r="C292" i="3"/>
  <c r="D292" i="3"/>
  <c r="E292" i="3"/>
  <c r="F292" i="3"/>
  <c r="G292" i="3"/>
  <c r="A293" i="3"/>
  <c r="B293" i="3"/>
  <c r="C293" i="3"/>
  <c r="D293" i="3"/>
  <c r="E293" i="3"/>
  <c r="F293" i="3"/>
  <c r="G293" i="3"/>
  <c r="A294" i="3"/>
  <c r="B294" i="3"/>
  <c r="C294" i="3"/>
  <c r="D294" i="3"/>
  <c r="E294" i="3"/>
  <c r="F294" i="3"/>
  <c r="G294" i="3"/>
  <c r="A295" i="3"/>
  <c r="B295" i="3"/>
  <c r="C295" i="3"/>
  <c r="D295" i="3"/>
  <c r="E295" i="3"/>
  <c r="F295" i="3"/>
  <c r="G295" i="3"/>
  <c r="A296" i="3"/>
  <c r="B296" i="3"/>
  <c r="C296" i="3"/>
  <c r="D296" i="3"/>
  <c r="E296" i="3"/>
  <c r="F296" i="3"/>
  <c r="G296" i="3"/>
  <c r="A297" i="3"/>
  <c r="B297" i="3"/>
  <c r="C297" i="3"/>
  <c r="D297" i="3"/>
  <c r="E297" i="3"/>
  <c r="F297" i="3"/>
  <c r="G297" i="3"/>
  <c r="A298" i="3"/>
  <c r="B298" i="3"/>
  <c r="C298" i="3"/>
  <c r="D298" i="3"/>
  <c r="E298" i="3"/>
  <c r="F298" i="3"/>
  <c r="G298" i="3"/>
  <c r="A299" i="3"/>
  <c r="B299" i="3"/>
  <c r="C299" i="3"/>
  <c r="D299" i="3"/>
  <c r="E299" i="3"/>
  <c r="F299" i="3"/>
  <c r="G299" i="3"/>
  <c r="A300" i="3"/>
  <c r="B300" i="3"/>
  <c r="C300" i="3"/>
  <c r="D300" i="3"/>
  <c r="E300" i="3"/>
  <c r="F300" i="3"/>
  <c r="G300" i="3"/>
  <c r="A301" i="3"/>
  <c r="B301" i="3"/>
  <c r="C301" i="3"/>
  <c r="D301" i="3"/>
  <c r="E301" i="3"/>
  <c r="F301" i="3"/>
  <c r="G301" i="3"/>
  <c r="A302" i="3"/>
  <c r="B302" i="3"/>
  <c r="C302" i="3"/>
  <c r="D302" i="3"/>
  <c r="E302" i="3"/>
  <c r="F302" i="3"/>
  <c r="G302" i="3"/>
  <c r="A303" i="3"/>
  <c r="B303" i="3"/>
  <c r="C303" i="3"/>
  <c r="D303" i="3"/>
  <c r="E303" i="3"/>
  <c r="F303" i="3"/>
  <c r="G303" i="3"/>
  <c r="A304" i="3"/>
  <c r="B304" i="3"/>
  <c r="C304" i="3"/>
  <c r="D304" i="3"/>
  <c r="E304" i="3"/>
  <c r="F304" i="3"/>
  <c r="G304" i="3"/>
  <c r="A305" i="3"/>
  <c r="B305" i="3"/>
  <c r="C305" i="3"/>
  <c r="D305" i="3"/>
  <c r="E305" i="3"/>
  <c r="F305" i="3"/>
  <c r="G305" i="3"/>
  <c r="A306" i="3"/>
  <c r="B306" i="3"/>
  <c r="C306" i="3"/>
  <c r="D306" i="3"/>
  <c r="E306" i="3"/>
  <c r="F306" i="3"/>
  <c r="G306" i="3"/>
  <c r="A307" i="3"/>
  <c r="B307" i="3"/>
  <c r="C307" i="3"/>
  <c r="D307" i="3"/>
  <c r="E307" i="3"/>
  <c r="F307" i="3"/>
  <c r="G307" i="3"/>
  <c r="A308" i="3"/>
  <c r="B308" i="3"/>
  <c r="C308" i="3"/>
  <c r="D308" i="3"/>
  <c r="E308" i="3"/>
  <c r="F308" i="3"/>
  <c r="G308" i="3"/>
  <c r="A309" i="3"/>
  <c r="B309" i="3"/>
  <c r="C309" i="3"/>
  <c r="D309" i="3"/>
  <c r="E309" i="3"/>
  <c r="F309" i="3"/>
  <c r="G309" i="3"/>
  <c r="A310" i="3"/>
  <c r="B310" i="3"/>
  <c r="C310" i="3"/>
  <c r="D310" i="3"/>
  <c r="E310" i="3"/>
  <c r="F310" i="3"/>
  <c r="G310" i="3"/>
  <c r="A311" i="3"/>
  <c r="B311" i="3"/>
  <c r="C311" i="3"/>
  <c r="D311" i="3"/>
  <c r="E311" i="3"/>
  <c r="F311" i="3"/>
  <c r="G311" i="3"/>
  <c r="A312" i="3"/>
  <c r="B312" i="3"/>
  <c r="C312" i="3"/>
  <c r="D312" i="3"/>
  <c r="E312" i="3"/>
  <c r="F312" i="3"/>
  <c r="G312" i="3"/>
  <c r="A313" i="3"/>
  <c r="B313" i="3"/>
  <c r="C313" i="3"/>
  <c r="D313" i="3"/>
  <c r="E313" i="3"/>
  <c r="F313" i="3"/>
  <c r="G313" i="3"/>
  <c r="A314" i="3"/>
  <c r="B314" i="3"/>
  <c r="C314" i="3"/>
  <c r="D314" i="3"/>
  <c r="E314" i="3"/>
  <c r="F314" i="3"/>
  <c r="G314" i="3"/>
  <c r="A315" i="3"/>
  <c r="B315" i="3"/>
  <c r="C315" i="3"/>
  <c r="D315" i="3"/>
  <c r="E315" i="3"/>
  <c r="F315" i="3"/>
  <c r="G315" i="3"/>
  <c r="A316" i="3"/>
  <c r="B316" i="3"/>
  <c r="C316" i="3"/>
  <c r="D316" i="3"/>
  <c r="E316" i="3"/>
  <c r="F316" i="3"/>
  <c r="G316" i="3"/>
  <c r="A317" i="3"/>
  <c r="B317" i="3"/>
  <c r="C317" i="3"/>
  <c r="D317" i="3"/>
  <c r="E317" i="3"/>
  <c r="F317" i="3"/>
  <c r="G317" i="3"/>
  <c r="A318" i="3"/>
  <c r="B318" i="3"/>
  <c r="C318" i="3"/>
  <c r="D318" i="3"/>
  <c r="E318" i="3"/>
  <c r="F318" i="3"/>
  <c r="G318" i="3"/>
  <c r="A319" i="3"/>
  <c r="B319" i="3"/>
  <c r="C319" i="3"/>
  <c r="D319" i="3"/>
  <c r="E319" i="3"/>
  <c r="F319" i="3"/>
  <c r="G319" i="3"/>
  <c r="A320" i="3"/>
  <c r="B320" i="3"/>
  <c r="C320" i="3"/>
  <c r="D320" i="3"/>
  <c r="E320" i="3"/>
  <c r="F320" i="3"/>
  <c r="G320" i="3"/>
  <c r="A321" i="3"/>
  <c r="B321" i="3"/>
  <c r="C321" i="3"/>
  <c r="D321" i="3"/>
  <c r="E321" i="3"/>
  <c r="F321" i="3"/>
  <c r="G321" i="3"/>
  <c r="A322" i="3"/>
  <c r="B322" i="3"/>
  <c r="C322" i="3"/>
  <c r="D322" i="3"/>
  <c r="E322" i="3"/>
  <c r="F322" i="3"/>
  <c r="G322" i="3"/>
  <c r="A323" i="3"/>
  <c r="B323" i="3"/>
  <c r="C323" i="3"/>
  <c r="D323" i="3"/>
  <c r="E323" i="3"/>
  <c r="F323" i="3"/>
  <c r="G323" i="3"/>
  <c r="A324" i="3"/>
  <c r="B324" i="3"/>
  <c r="C324" i="3"/>
  <c r="D324" i="3"/>
  <c r="E324" i="3"/>
  <c r="F324" i="3"/>
  <c r="G324" i="3"/>
  <c r="A325" i="3"/>
  <c r="B325" i="3"/>
  <c r="C325" i="3"/>
  <c r="D325" i="3"/>
  <c r="E325" i="3"/>
  <c r="F325" i="3"/>
  <c r="G325" i="3"/>
  <c r="A326" i="3"/>
  <c r="B326" i="3"/>
  <c r="C326" i="3"/>
  <c r="D326" i="3"/>
  <c r="E326" i="3"/>
  <c r="F326" i="3"/>
  <c r="G326" i="3"/>
  <c r="A327" i="3"/>
  <c r="B327" i="3"/>
  <c r="C327" i="3"/>
  <c r="D327" i="3"/>
  <c r="E327" i="3"/>
  <c r="F327" i="3"/>
  <c r="G327" i="3"/>
  <c r="A328" i="3"/>
  <c r="B328" i="3"/>
  <c r="C328" i="3"/>
  <c r="D328" i="3"/>
  <c r="E328" i="3"/>
  <c r="F328" i="3"/>
  <c r="G328" i="3"/>
  <c r="A329" i="3"/>
  <c r="B329" i="3"/>
  <c r="C329" i="3"/>
  <c r="D329" i="3"/>
  <c r="E329" i="3"/>
  <c r="F329" i="3"/>
  <c r="G329" i="3"/>
  <c r="A330" i="3"/>
  <c r="B330" i="3"/>
  <c r="C330" i="3"/>
  <c r="D330" i="3"/>
  <c r="E330" i="3"/>
  <c r="F330" i="3"/>
  <c r="G330" i="3"/>
  <c r="A331" i="3"/>
  <c r="B331" i="3"/>
  <c r="C331" i="3"/>
  <c r="D331" i="3"/>
  <c r="E331" i="3"/>
  <c r="F331" i="3"/>
  <c r="G331" i="3"/>
  <c r="A332" i="3"/>
  <c r="B332" i="3"/>
  <c r="C332" i="3"/>
  <c r="D332" i="3"/>
  <c r="E332" i="3"/>
  <c r="F332" i="3"/>
  <c r="G332" i="3"/>
  <c r="A333" i="3"/>
  <c r="B333" i="3"/>
  <c r="C333" i="3"/>
  <c r="D333" i="3"/>
  <c r="E333" i="3"/>
  <c r="F333" i="3"/>
  <c r="G333" i="3"/>
  <c r="A334" i="3"/>
  <c r="B334" i="3"/>
  <c r="C334" i="3"/>
  <c r="D334" i="3"/>
  <c r="E334" i="3"/>
  <c r="F334" i="3"/>
  <c r="G334" i="3"/>
  <c r="A335" i="3"/>
  <c r="B335" i="3"/>
  <c r="C335" i="3"/>
  <c r="D335" i="3"/>
  <c r="E335" i="3"/>
  <c r="F335" i="3"/>
  <c r="G335" i="3"/>
  <c r="A336" i="3"/>
  <c r="B336" i="3"/>
  <c r="C336" i="3"/>
  <c r="D336" i="3"/>
  <c r="E336" i="3"/>
  <c r="F336" i="3"/>
  <c r="G336" i="3"/>
  <c r="A337" i="3"/>
  <c r="B337" i="3"/>
  <c r="C337" i="3"/>
  <c r="D337" i="3"/>
  <c r="E337" i="3"/>
  <c r="F337" i="3"/>
  <c r="G337" i="3"/>
  <c r="A338" i="3"/>
  <c r="B338" i="3"/>
  <c r="C338" i="3"/>
  <c r="D338" i="3"/>
  <c r="E338" i="3"/>
  <c r="F338" i="3"/>
  <c r="G338" i="3"/>
  <c r="A339" i="3"/>
  <c r="B339" i="3"/>
  <c r="C339" i="3"/>
  <c r="D339" i="3"/>
  <c r="E339" i="3"/>
  <c r="F339" i="3"/>
  <c r="G339" i="3"/>
  <c r="A340" i="3"/>
  <c r="B340" i="3"/>
  <c r="C340" i="3"/>
  <c r="D340" i="3"/>
  <c r="E340" i="3"/>
  <c r="F340" i="3"/>
  <c r="G340" i="3"/>
  <c r="A341" i="3"/>
  <c r="B341" i="3"/>
  <c r="C341" i="3"/>
  <c r="D341" i="3"/>
  <c r="E341" i="3"/>
  <c r="F341" i="3"/>
  <c r="G341" i="3"/>
  <c r="A342" i="3"/>
  <c r="B342" i="3"/>
  <c r="C342" i="3"/>
  <c r="D342" i="3"/>
  <c r="E342" i="3"/>
  <c r="F342" i="3"/>
  <c r="G342" i="3"/>
  <c r="A343" i="3"/>
  <c r="B343" i="3"/>
  <c r="C343" i="3"/>
  <c r="D343" i="3"/>
  <c r="E343" i="3"/>
  <c r="F343" i="3"/>
  <c r="G343" i="3"/>
  <c r="A344" i="3"/>
  <c r="B344" i="3"/>
  <c r="C344" i="3"/>
  <c r="D344" i="3"/>
  <c r="E344" i="3"/>
  <c r="F344" i="3"/>
  <c r="G344" i="3"/>
  <c r="A345" i="3"/>
  <c r="B345" i="3"/>
  <c r="C345" i="3"/>
  <c r="D345" i="3"/>
  <c r="E345" i="3"/>
  <c r="F345" i="3"/>
  <c r="G345" i="3"/>
  <c r="A346" i="3"/>
  <c r="B346" i="3"/>
  <c r="C346" i="3"/>
  <c r="D346" i="3"/>
  <c r="E346" i="3"/>
  <c r="F346" i="3"/>
  <c r="G346" i="3"/>
  <c r="A347" i="3"/>
  <c r="B347" i="3"/>
  <c r="C347" i="3"/>
  <c r="D347" i="3"/>
  <c r="E347" i="3"/>
  <c r="F347" i="3"/>
  <c r="G347" i="3"/>
  <c r="A348" i="3"/>
  <c r="B348" i="3"/>
  <c r="C348" i="3"/>
  <c r="D348" i="3"/>
  <c r="E348" i="3"/>
  <c r="F348" i="3"/>
  <c r="G348" i="3"/>
  <c r="A349" i="3"/>
  <c r="B349" i="3"/>
  <c r="C349" i="3"/>
  <c r="D349" i="3"/>
  <c r="E349" i="3"/>
  <c r="F349" i="3"/>
  <c r="G349" i="3"/>
  <c r="A350" i="3"/>
  <c r="B350" i="3"/>
  <c r="C350" i="3"/>
  <c r="D350" i="3"/>
  <c r="E350" i="3"/>
  <c r="F350" i="3"/>
  <c r="G350" i="3"/>
  <c r="G2" i="3"/>
  <c r="F2" i="3"/>
  <c r="E2" i="3"/>
  <c r="D2" i="3"/>
  <c r="C2" i="3"/>
  <c r="B2" i="3"/>
  <c r="A2" i="3"/>
  <c r="A4" i="1"/>
  <c r="B4" i="1"/>
  <c r="C4" i="1"/>
  <c r="E4" i="1"/>
  <c r="H4" i="1" s="1"/>
  <c r="F4" i="1"/>
  <c r="G4" i="1"/>
  <c r="A5" i="1"/>
  <c r="B5" i="1"/>
  <c r="C5" i="1"/>
  <c r="E5" i="1"/>
  <c r="H5" i="1" s="1"/>
  <c r="F5" i="1"/>
  <c r="G5" i="1"/>
  <c r="A6" i="1"/>
  <c r="B6" i="1"/>
  <c r="C6" i="1"/>
  <c r="E6" i="1"/>
  <c r="H6" i="1" s="1"/>
  <c r="F6" i="1"/>
  <c r="G6" i="1"/>
  <c r="A7" i="1"/>
  <c r="B7" i="1"/>
  <c r="C7" i="1"/>
  <c r="E7" i="1"/>
  <c r="F7" i="1"/>
  <c r="G7" i="1"/>
  <c r="A8" i="1"/>
  <c r="B8" i="1"/>
  <c r="C8" i="1"/>
  <c r="E8" i="1"/>
  <c r="H8" i="1" s="1"/>
  <c r="F8" i="1"/>
  <c r="G8" i="1"/>
  <c r="A9" i="1"/>
  <c r="B9" i="1"/>
  <c r="C9" i="1"/>
  <c r="E9" i="1"/>
  <c r="F9" i="1"/>
  <c r="G9" i="1"/>
  <c r="A10" i="1"/>
  <c r="B10" i="1"/>
  <c r="C10" i="1"/>
  <c r="E10" i="1"/>
  <c r="H10" i="1" s="1"/>
  <c r="F10" i="1"/>
  <c r="G10" i="1"/>
  <c r="A11" i="1"/>
  <c r="B11" i="1"/>
  <c r="C11" i="1"/>
  <c r="E11" i="1"/>
  <c r="H11" i="1" s="1"/>
  <c r="F11" i="1"/>
  <c r="G11" i="1"/>
  <c r="A12" i="1"/>
  <c r="B12" i="1"/>
  <c r="C12" i="1"/>
  <c r="E12" i="1"/>
  <c r="H12" i="1" s="1"/>
  <c r="F12" i="1"/>
  <c r="G12" i="1"/>
  <c r="A13" i="1"/>
  <c r="B13" i="1"/>
  <c r="C13" i="1"/>
  <c r="E13" i="1"/>
  <c r="H13" i="1" s="1"/>
  <c r="F13" i="1"/>
  <c r="G13" i="1"/>
  <c r="A14" i="1"/>
  <c r="B14" i="1"/>
  <c r="C14" i="1"/>
  <c r="E14" i="1"/>
  <c r="H14" i="1" s="1"/>
  <c r="F14" i="1"/>
  <c r="G14" i="1"/>
  <c r="A15" i="1"/>
  <c r="B15" i="1"/>
  <c r="C15" i="1"/>
  <c r="E15" i="1"/>
  <c r="H15" i="1" s="1"/>
  <c r="F15" i="1"/>
  <c r="G15" i="1"/>
  <c r="A16" i="1"/>
  <c r="B16" i="1"/>
  <c r="C16" i="1"/>
  <c r="E16" i="1"/>
  <c r="H16" i="1" s="1"/>
  <c r="F16" i="1"/>
  <c r="G16" i="1"/>
  <c r="A17" i="1"/>
  <c r="B17" i="1"/>
  <c r="C17" i="1"/>
  <c r="E17" i="1"/>
  <c r="H17" i="1" s="1"/>
  <c r="F17" i="1"/>
  <c r="G17" i="1"/>
  <c r="A18" i="1"/>
  <c r="B18" i="1"/>
  <c r="C18" i="1"/>
  <c r="E18" i="1"/>
  <c r="F18" i="1"/>
  <c r="G18" i="1"/>
  <c r="A19" i="1"/>
  <c r="B19" i="1"/>
  <c r="C19" i="1"/>
  <c r="E19" i="1"/>
  <c r="F19" i="1"/>
  <c r="G19" i="1"/>
  <c r="A20" i="1"/>
  <c r="B20" i="1"/>
  <c r="C20" i="1"/>
  <c r="E20" i="1"/>
  <c r="F20" i="1"/>
  <c r="G20" i="1"/>
  <c r="A21" i="1"/>
  <c r="B21" i="1"/>
  <c r="C21" i="1"/>
  <c r="E21" i="1"/>
  <c r="F21" i="1"/>
  <c r="G21" i="1"/>
  <c r="A22" i="1"/>
  <c r="B22" i="1"/>
  <c r="C22" i="1"/>
  <c r="E22" i="1"/>
  <c r="H22" i="1" s="1"/>
  <c r="F22" i="1"/>
  <c r="G22" i="1"/>
  <c r="A23" i="1"/>
  <c r="B23" i="1"/>
  <c r="C23" i="1"/>
  <c r="E23" i="1"/>
  <c r="F23" i="1"/>
  <c r="G23" i="1"/>
  <c r="A24" i="1"/>
  <c r="B24" i="1"/>
  <c r="C24" i="1"/>
  <c r="E24" i="1"/>
  <c r="H24" i="1" s="1"/>
  <c r="F24" i="1"/>
  <c r="G24" i="1"/>
  <c r="A25" i="1"/>
  <c r="B25" i="1"/>
  <c r="C25" i="1"/>
  <c r="E25" i="1"/>
  <c r="F25" i="1"/>
  <c r="G25" i="1"/>
  <c r="A26" i="1"/>
  <c r="B26" i="1"/>
  <c r="C26" i="1"/>
  <c r="E26" i="1"/>
  <c r="H26" i="1" s="1"/>
  <c r="F26" i="1"/>
  <c r="G26" i="1"/>
  <c r="A27" i="1"/>
  <c r="B27" i="1"/>
  <c r="C27" i="1"/>
  <c r="E27" i="1"/>
  <c r="F27" i="1"/>
  <c r="G27" i="1"/>
  <c r="A28" i="1"/>
  <c r="B28" i="1"/>
  <c r="C28" i="1"/>
  <c r="E28" i="1"/>
  <c r="F28" i="1"/>
  <c r="G28" i="1"/>
  <c r="A29" i="1"/>
  <c r="B29" i="1"/>
  <c r="C29" i="1"/>
  <c r="E29" i="1"/>
  <c r="F29" i="1"/>
  <c r="G29" i="1"/>
  <c r="A30" i="1"/>
  <c r="B30" i="1"/>
  <c r="C30" i="1"/>
  <c r="E30" i="1"/>
  <c r="H30" i="1" s="1"/>
  <c r="F30" i="1"/>
  <c r="G30" i="1"/>
  <c r="A31" i="1"/>
  <c r="B31" i="1"/>
  <c r="C31" i="1"/>
  <c r="E31" i="1"/>
  <c r="H31" i="1" s="1"/>
  <c r="F31" i="1"/>
  <c r="G31" i="1"/>
  <c r="A32" i="1"/>
  <c r="B32" i="1"/>
  <c r="C32" i="1"/>
  <c r="E32" i="1"/>
  <c r="H32" i="1" s="1"/>
  <c r="F32" i="1"/>
  <c r="G32" i="1"/>
  <c r="A33" i="1"/>
  <c r="B33" i="1"/>
  <c r="C33" i="1"/>
  <c r="E33" i="1"/>
  <c r="H33" i="1" s="1"/>
  <c r="F33" i="1"/>
  <c r="G33" i="1"/>
  <c r="A34" i="1"/>
  <c r="B34" i="1"/>
  <c r="C34" i="1"/>
  <c r="E34" i="1"/>
  <c r="F34" i="1"/>
  <c r="G34" i="1"/>
  <c r="A35" i="1"/>
  <c r="B35" i="1"/>
  <c r="C35" i="1"/>
  <c r="E35" i="1"/>
  <c r="F35" i="1"/>
  <c r="G35" i="1"/>
  <c r="A36" i="1"/>
  <c r="B36" i="1"/>
  <c r="C36" i="1"/>
  <c r="E36" i="1"/>
  <c r="H36" i="1" s="1"/>
  <c r="F36" i="1"/>
  <c r="G36" i="1"/>
  <c r="A37" i="1"/>
  <c r="B37" i="1"/>
  <c r="C37" i="1"/>
  <c r="E37" i="1"/>
  <c r="F37" i="1"/>
  <c r="G37" i="1"/>
  <c r="A38" i="1"/>
  <c r="B38" i="1"/>
  <c r="C38" i="1"/>
  <c r="E38" i="1"/>
  <c r="H38" i="1" s="1"/>
  <c r="F38" i="1"/>
  <c r="G38" i="1"/>
  <c r="A39" i="1"/>
  <c r="B39" i="1"/>
  <c r="C39" i="1"/>
  <c r="E39" i="1"/>
  <c r="F39" i="1"/>
  <c r="G39" i="1"/>
  <c r="A40" i="1"/>
  <c r="B40" i="1"/>
  <c r="C40" i="1"/>
  <c r="E40" i="1"/>
  <c r="F40" i="1"/>
  <c r="G40" i="1"/>
  <c r="A41" i="1"/>
  <c r="B41" i="1"/>
  <c r="C41" i="1"/>
  <c r="E41" i="1"/>
  <c r="F41" i="1"/>
  <c r="G41" i="1"/>
  <c r="A42" i="1"/>
  <c r="B42" i="1"/>
  <c r="C42" i="1"/>
  <c r="E42" i="1"/>
  <c r="H42" i="1" s="1"/>
  <c r="F42" i="1"/>
  <c r="G42" i="1"/>
  <c r="A43" i="1"/>
  <c r="B43" i="1"/>
  <c r="C43" i="1"/>
  <c r="E43" i="1"/>
  <c r="H43" i="1" s="1"/>
  <c r="F43" i="1"/>
  <c r="G43" i="1"/>
  <c r="A44" i="1"/>
  <c r="B44" i="1"/>
  <c r="C44" i="1"/>
  <c r="E44" i="1"/>
  <c r="H44" i="1" s="1"/>
  <c r="F44" i="1"/>
  <c r="G44" i="1"/>
  <c r="A45" i="1"/>
  <c r="B45" i="1"/>
  <c r="C45" i="1"/>
  <c r="E45" i="1"/>
  <c r="H45" i="1" s="1"/>
  <c r="F45" i="1"/>
  <c r="G45" i="1"/>
  <c r="A46" i="1"/>
  <c r="B46" i="1"/>
  <c r="C46" i="1"/>
  <c r="E46" i="1"/>
  <c r="H46" i="1" s="1"/>
  <c r="F46" i="1"/>
  <c r="G46" i="1"/>
  <c r="A47" i="1"/>
  <c r="B47" i="1"/>
  <c r="C47" i="1"/>
  <c r="E47" i="1"/>
  <c r="H47" i="1" s="1"/>
  <c r="F47" i="1"/>
  <c r="G47" i="1"/>
  <c r="A48" i="1"/>
  <c r="B48" i="1"/>
  <c r="C48" i="1"/>
  <c r="E48" i="1"/>
  <c r="F48" i="1"/>
  <c r="G48" i="1"/>
  <c r="A49" i="1"/>
  <c r="B49" i="1"/>
  <c r="C49" i="1"/>
  <c r="E49" i="1"/>
  <c r="F49" i="1"/>
  <c r="G49" i="1"/>
  <c r="A50" i="1"/>
  <c r="B50" i="1"/>
  <c r="C50" i="1"/>
  <c r="E50" i="1"/>
  <c r="H50" i="1" s="1"/>
  <c r="F50" i="1"/>
  <c r="G50" i="1"/>
  <c r="A51" i="1"/>
  <c r="B51" i="1"/>
  <c r="C51" i="1"/>
  <c r="E51" i="1"/>
  <c r="F51" i="1"/>
  <c r="G51" i="1"/>
  <c r="A52" i="1"/>
  <c r="B52" i="1"/>
  <c r="C52" i="1"/>
  <c r="E52" i="1"/>
  <c r="F52" i="1"/>
  <c r="G52" i="1"/>
  <c r="A53" i="1"/>
  <c r="B53" i="1"/>
  <c r="C53" i="1"/>
  <c r="E53" i="1"/>
  <c r="F53" i="1"/>
  <c r="G53" i="1"/>
  <c r="A54" i="1"/>
  <c r="B54" i="1"/>
  <c r="C54" i="1"/>
  <c r="E54" i="1"/>
  <c r="H54" i="1" s="1"/>
  <c r="F54" i="1"/>
  <c r="G54" i="1"/>
  <c r="A55" i="1"/>
  <c r="B55" i="1"/>
  <c r="C55" i="1"/>
  <c r="E55" i="1"/>
  <c r="F55" i="1"/>
  <c r="G55" i="1"/>
  <c r="A56" i="1"/>
  <c r="B56" i="1"/>
  <c r="C56" i="1"/>
  <c r="E56" i="1"/>
  <c r="F56" i="1"/>
  <c r="G56" i="1"/>
  <c r="A57" i="1"/>
  <c r="B57" i="1"/>
  <c r="C57" i="1"/>
  <c r="E57" i="1"/>
  <c r="F57" i="1"/>
  <c r="G57" i="1"/>
  <c r="A58" i="1"/>
  <c r="B58" i="1"/>
  <c r="C58" i="1"/>
  <c r="E58" i="1"/>
  <c r="H58" i="1" s="1"/>
  <c r="F58" i="1"/>
  <c r="G58" i="1"/>
  <c r="A59" i="1"/>
  <c r="B59" i="1"/>
  <c r="C59" i="1"/>
  <c r="E59" i="1"/>
  <c r="H59" i="1" s="1"/>
  <c r="F59" i="1"/>
  <c r="G59" i="1"/>
  <c r="A60" i="1"/>
  <c r="B60" i="1"/>
  <c r="C60" i="1"/>
  <c r="E60" i="1"/>
  <c r="H60" i="1" s="1"/>
  <c r="F60" i="1"/>
  <c r="G60" i="1"/>
  <c r="A61" i="1"/>
  <c r="B61" i="1"/>
  <c r="C61" i="1"/>
  <c r="E61" i="1"/>
  <c r="H61" i="1" s="1"/>
  <c r="F61" i="1"/>
  <c r="G61" i="1"/>
  <c r="A62" i="1"/>
  <c r="B62" i="1"/>
  <c r="C62" i="1"/>
  <c r="E62" i="1"/>
  <c r="F62" i="1"/>
  <c r="G62" i="1"/>
  <c r="A63" i="1"/>
  <c r="B63" i="1"/>
  <c r="C63" i="1"/>
  <c r="E63" i="1"/>
  <c r="H63" i="1" s="1"/>
  <c r="F63" i="1"/>
  <c r="G63" i="1"/>
  <c r="A64" i="1"/>
  <c r="B64" i="1"/>
  <c r="C64" i="1"/>
  <c r="E64" i="1"/>
  <c r="H64" i="1" s="1"/>
  <c r="F64" i="1"/>
  <c r="G64" i="1"/>
  <c r="A65" i="1"/>
  <c r="B65" i="1"/>
  <c r="C65" i="1"/>
  <c r="E65" i="1"/>
  <c r="H65" i="1" s="1"/>
  <c r="F65" i="1"/>
  <c r="G65" i="1"/>
  <c r="A66" i="1"/>
  <c r="B66" i="1"/>
  <c r="C66" i="1"/>
  <c r="E66" i="1"/>
  <c r="H66" i="1" s="1"/>
  <c r="F66" i="1"/>
  <c r="G66" i="1"/>
  <c r="A67" i="1"/>
  <c r="B67" i="1"/>
  <c r="C67" i="1"/>
  <c r="E67" i="1"/>
  <c r="H67" i="1" s="1"/>
  <c r="F67" i="1"/>
  <c r="G67" i="1"/>
  <c r="A68" i="1"/>
  <c r="B68" i="1"/>
  <c r="C68" i="1"/>
  <c r="E68" i="1"/>
  <c r="H68" i="1" s="1"/>
  <c r="F68" i="1"/>
  <c r="G68" i="1"/>
  <c r="A69" i="1"/>
  <c r="B69" i="1"/>
  <c r="C69" i="1"/>
  <c r="E69" i="1"/>
  <c r="H69" i="1" s="1"/>
  <c r="F69" i="1"/>
  <c r="G69" i="1"/>
  <c r="A70" i="1"/>
  <c r="B70" i="1"/>
  <c r="C70" i="1"/>
  <c r="E70" i="1"/>
  <c r="H70" i="1" s="1"/>
  <c r="F70" i="1"/>
  <c r="G70" i="1"/>
  <c r="A71" i="1"/>
  <c r="B71" i="1"/>
  <c r="C71" i="1"/>
  <c r="E71" i="1"/>
  <c r="F71" i="1"/>
  <c r="G71" i="1"/>
  <c r="A72" i="1"/>
  <c r="B72" i="1"/>
  <c r="C72" i="1"/>
  <c r="E72" i="1"/>
  <c r="F72" i="1"/>
  <c r="G72" i="1"/>
  <c r="A73" i="1"/>
  <c r="B73" i="1"/>
  <c r="C73" i="1"/>
  <c r="E73" i="1"/>
  <c r="F73" i="1"/>
  <c r="G73" i="1"/>
  <c r="A74" i="1"/>
  <c r="B74" i="1"/>
  <c r="C74" i="1"/>
  <c r="E74" i="1"/>
  <c r="I74" i="1" s="1"/>
  <c r="F74" i="1"/>
  <c r="G74" i="1"/>
  <c r="A75" i="1"/>
  <c r="B75" i="1"/>
  <c r="C75" i="1"/>
  <c r="E75" i="1"/>
  <c r="H75" i="1" s="1"/>
  <c r="F75" i="1"/>
  <c r="G75" i="1"/>
  <c r="A76" i="1"/>
  <c r="B76" i="1"/>
  <c r="C76" i="1"/>
  <c r="E76" i="1"/>
  <c r="H76" i="1" s="1"/>
  <c r="F76" i="1"/>
  <c r="G76" i="1"/>
  <c r="A77" i="1"/>
  <c r="B77" i="1"/>
  <c r="C77" i="1"/>
  <c r="E77" i="1"/>
  <c r="H77" i="1" s="1"/>
  <c r="F77" i="1"/>
  <c r="G77" i="1"/>
  <c r="A78" i="1"/>
  <c r="B78" i="1"/>
  <c r="C78" i="1"/>
  <c r="E78" i="1"/>
  <c r="F78" i="1"/>
  <c r="G78" i="1"/>
  <c r="A79" i="1"/>
  <c r="B79" i="1"/>
  <c r="C79" i="1"/>
  <c r="E79" i="1"/>
  <c r="H79" i="1" s="1"/>
  <c r="F79" i="1"/>
  <c r="G79" i="1"/>
  <c r="A80" i="1"/>
  <c r="B80" i="1"/>
  <c r="C80" i="1"/>
  <c r="E80" i="1"/>
  <c r="H80" i="1" s="1"/>
  <c r="F80" i="1"/>
  <c r="G80" i="1"/>
  <c r="A81" i="1"/>
  <c r="B81" i="1"/>
  <c r="C81" i="1"/>
  <c r="E81" i="1"/>
  <c r="H81" i="1" s="1"/>
  <c r="F81" i="1"/>
  <c r="G81" i="1"/>
  <c r="A82" i="1"/>
  <c r="B82" i="1"/>
  <c r="C82" i="1"/>
  <c r="E82" i="1"/>
  <c r="H82" i="1" s="1"/>
  <c r="F82" i="1"/>
  <c r="G82" i="1"/>
  <c r="A83" i="1"/>
  <c r="B83" i="1"/>
  <c r="C83" i="1"/>
  <c r="E83" i="1"/>
  <c r="F83" i="1"/>
  <c r="G83" i="1"/>
  <c r="A84" i="1"/>
  <c r="B84" i="1"/>
  <c r="C84" i="1"/>
  <c r="E84" i="1"/>
  <c r="H84" i="1" s="1"/>
  <c r="F84" i="1"/>
  <c r="G84" i="1"/>
  <c r="A85" i="1"/>
  <c r="B85" i="1"/>
  <c r="C85" i="1"/>
  <c r="E85" i="1"/>
  <c r="F85" i="1"/>
  <c r="G85" i="1"/>
  <c r="A86" i="1"/>
  <c r="B86" i="1"/>
  <c r="C86" i="1"/>
  <c r="E86" i="1"/>
  <c r="H86" i="1" s="1"/>
  <c r="F86" i="1"/>
  <c r="G86" i="1"/>
  <c r="A87" i="1"/>
  <c r="B87" i="1"/>
  <c r="C87" i="1"/>
  <c r="E87" i="1"/>
  <c r="F87" i="1"/>
  <c r="G87" i="1"/>
  <c r="A88" i="1"/>
  <c r="B88" i="1"/>
  <c r="C88" i="1"/>
  <c r="E88" i="1"/>
  <c r="H88" i="1" s="1"/>
  <c r="F88" i="1"/>
  <c r="G88" i="1"/>
  <c r="A89" i="1"/>
  <c r="B89" i="1"/>
  <c r="C89" i="1"/>
  <c r="E89" i="1"/>
  <c r="H89" i="1" s="1"/>
  <c r="F89" i="1"/>
  <c r="G89" i="1"/>
  <c r="A90" i="1"/>
  <c r="B90" i="1"/>
  <c r="C90" i="1"/>
  <c r="E90" i="1"/>
  <c r="H90" i="1" s="1"/>
  <c r="F90" i="1"/>
  <c r="G90" i="1"/>
  <c r="A91" i="1"/>
  <c r="B91" i="1"/>
  <c r="C91" i="1"/>
  <c r="E91" i="1"/>
  <c r="H91" i="1" s="1"/>
  <c r="F91" i="1"/>
  <c r="G91" i="1"/>
  <c r="A92" i="1"/>
  <c r="B92" i="1"/>
  <c r="C92" i="1"/>
  <c r="E92" i="1"/>
  <c r="H92" i="1" s="1"/>
  <c r="F92" i="1"/>
  <c r="G92" i="1"/>
  <c r="A93" i="1"/>
  <c r="B93" i="1"/>
  <c r="C93" i="1"/>
  <c r="E93" i="1"/>
  <c r="H93" i="1" s="1"/>
  <c r="F93" i="1"/>
  <c r="G93" i="1"/>
  <c r="A94" i="1"/>
  <c r="B94" i="1"/>
  <c r="C94" i="1"/>
  <c r="E94" i="1"/>
  <c r="F94" i="1"/>
  <c r="G94" i="1"/>
  <c r="A95" i="1"/>
  <c r="B95" i="1"/>
  <c r="C95" i="1"/>
  <c r="E95" i="1"/>
  <c r="H95" i="1" s="1"/>
  <c r="F95" i="1"/>
  <c r="G95" i="1"/>
  <c r="A96" i="1"/>
  <c r="B96" i="1"/>
  <c r="C96" i="1"/>
  <c r="E96" i="1"/>
  <c r="H96" i="1" s="1"/>
  <c r="F96" i="1"/>
  <c r="G96" i="1"/>
  <c r="A97" i="1"/>
  <c r="B97" i="1"/>
  <c r="C97" i="1"/>
  <c r="E97" i="1"/>
  <c r="H97" i="1" s="1"/>
  <c r="F97" i="1"/>
  <c r="G97" i="1"/>
  <c r="A98" i="1"/>
  <c r="B98" i="1"/>
  <c r="C98" i="1"/>
  <c r="E98" i="1"/>
  <c r="H98" i="1" s="1"/>
  <c r="F98" i="1"/>
  <c r="G98" i="1"/>
  <c r="A99" i="1"/>
  <c r="B99" i="1"/>
  <c r="C99" i="1"/>
  <c r="E99" i="1"/>
  <c r="H99" i="1" s="1"/>
  <c r="F99" i="1"/>
  <c r="G99" i="1"/>
  <c r="A100" i="1"/>
  <c r="B100" i="1"/>
  <c r="C100" i="1"/>
  <c r="E100" i="1"/>
  <c r="H100" i="1" s="1"/>
  <c r="F100" i="1"/>
  <c r="G100" i="1"/>
  <c r="A101" i="1"/>
  <c r="B101" i="1"/>
  <c r="C101" i="1"/>
  <c r="E101" i="1"/>
  <c r="H101" i="1" s="1"/>
  <c r="F101" i="1"/>
  <c r="G101" i="1"/>
  <c r="A102" i="1"/>
  <c r="B102" i="1"/>
  <c r="C102" i="1"/>
  <c r="E102" i="1"/>
  <c r="H102" i="1" s="1"/>
  <c r="F102" i="1"/>
  <c r="G102" i="1"/>
  <c r="A103" i="1"/>
  <c r="B103" i="1"/>
  <c r="C103" i="1"/>
  <c r="E103" i="1"/>
  <c r="F103" i="1"/>
  <c r="G103" i="1"/>
  <c r="A104" i="1"/>
  <c r="B104" i="1"/>
  <c r="C104" i="1"/>
  <c r="E104" i="1"/>
  <c r="H104" i="1" s="1"/>
  <c r="F104" i="1"/>
  <c r="G104" i="1"/>
  <c r="A105" i="1"/>
  <c r="B105" i="1"/>
  <c r="C105" i="1"/>
  <c r="E105" i="1"/>
  <c r="F105" i="1"/>
  <c r="G105" i="1"/>
  <c r="A106" i="1"/>
  <c r="B106" i="1"/>
  <c r="C106" i="1"/>
  <c r="E106" i="1"/>
  <c r="H106" i="1" s="1"/>
  <c r="F106" i="1"/>
  <c r="G106" i="1"/>
  <c r="A107" i="1"/>
  <c r="B107" i="1"/>
  <c r="C107" i="1"/>
  <c r="E107" i="1"/>
  <c r="H107" i="1" s="1"/>
  <c r="F107" i="1"/>
  <c r="G107" i="1"/>
  <c r="A108" i="1"/>
  <c r="B108" i="1"/>
  <c r="C108" i="1"/>
  <c r="E108" i="1"/>
  <c r="H108" i="1" s="1"/>
  <c r="F108" i="1"/>
  <c r="G108" i="1"/>
  <c r="A109" i="1"/>
  <c r="B109" i="1"/>
  <c r="C109" i="1"/>
  <c r="E109" i="1"/>
  <c r="H109" i="1" s="1"/>
  <c r="F109" i="1"/>
  <c r="G109" i="1"/>
  <c r="A110" i="1"/>
  <c r="B110" i="1"/>
  <c r="C110" i="1"/>
  <c r="E110" i="1"/>
  <c r="H110" i="1" s="1"/>
  <c r="F110" i="1"/>
  <c r="G110" i="1"/>
  <c r="A111" i="1"/>
  <c r="B111" i="1"/>
  <c r="C111" i="1"/>
  <c r="E111" i="1"/>
  <c r="H111" i="1" s="1"/>
  <c r="F111" i="1"/>
  <c r="G111" i="1"/>
  <c r="A112" i="1"/>
  <c r="B112" i="1"/>
  <c r="C112" i="1"/>
  <c r="E112" i="1"/>
  <c r="H112" i="1" s="1"/>
  <c r="F112" i="1"/>
  <c r="G112" i="1"/>
  <c r="A113" i="1"/>
  <c r="B113" i="1"/>
  <c r="C113" i="1"/>
  <c r="E113" i="1"/>
  <c r="F113" i="1"/>
  <c r="G113" i="1"/>
  <c r="A114" i="1"/>
  <c r="B114" i="1"/>
  <c r="C114" i="1"/>
  <c r="E114" i="1"/>
  <c r="H114" i="1" s="1"/>
  <c r="F114" i="1"/>
  <c r="G114" i="1"/>
  <c r="A115" i="1"/>
  <c r="B115" i="1"/>
  <c r="C115" i="1"/>
  <c r="E115" i="1"/>
  <c r="F115" i="1"/>
  <c r="G115" i="1"/>
  <c r="A116" i="1"/>
  <c r="B116" i="1"/>
  <c r="C116" i="1"/>
  <c r="E116" i="1"/>
  <c r="F116" i="1"/>
  <c r="G116" i="1"/>
  <c r="A117" i="1"/>
  <c r="B117" i="1"/>
  <c r="C117" i="1"/>
  <c r="E117" i="1"/>
  <c r="F117" i="1"/>
  <c r="G117" i="1"/>
  <c r="A118" i="1"/>
  <c r="B118" i="1"/>
  <c r="C118" i="1"/>
  <c r="E118" i="1"/>
  <c r="H118" i="1" s="1"/>
  <c r="F118" i="1"/>
  <c r="G118" i="1"/>
  <c r="A119" i="1"/>
  <c r="B119" i="1"/>
  <c r="C119" i="1"/>
  <c r="E119" i="1"/>
  <c r="F119" i="1"/>
  <c r="G119" i="1"/>
  <c r="A120" i="1"/>
  <c r="B120" i="1"/>
  <c r="C120" i="1"/>
  <c r="E120" i="1"/>
  <c r="H120" i="1" s="1"/>
  <c r="F120" i="1"/>
  <c r="G120" i="1"/>
  <c r="A121" i="1"/>
  <c r="B121" i="1"/>
  <c r="C121" i="1"/>
  <c r="E121" i="1"/>
  <c r="F121" i="1"/>
  <c r="G121" i="1"/>
  <c r="A122" i="1"/>
  <c r="B122" i="1"/>
  <c r="C122" i="1"/>
  <c r="E122" i="1"/>
  <c r="H122" i="1" s="1"/>
  <c r="F122" i="1"/>
  <c r="G122" i="1"/>
  <c r="A123" i="1"/>
  <c r="B123" i="1"/>
  <c r="C123" i="1"/>
  <c r="E123" i="1"/>
  <c r="H123" i="1" s="1"/>
  <c r="F123" i="1"/>
  <c r="G123" i="1"/>
  <c r="A124" i="1"/>
  <c r="B124" i="1"/>
  <c r="C124" i="1"/>
  <c r="E124" i="1"/>
  <c r="H124" i="1" s="1"/>
  <c r="F124" i="1"/>
  <c r="G124" i="1"/>
  <c r="A125" i="1"/>
  <c r="B125" i="1"/>
  <c r="C125" i="1"/>
  <c r="E125" i="1"/>
  <c r="H125" i="1" s="1"/>
  <c r="F125" i="1"/>
  <c r="G125" i="1"/>
  <c r="A126" i="1"/>
  <c r="B126" i="1"/>
  <c r="C126" i="1"/>
  <c r="E126" i="1"/>
  <c r="F126" i="1"/>
  <c r="G126" i="1"/>
  <c r="A127" i="1"/>
  <c r="B127" i="1"/>
  <c r="C127" i="1"/>
  <c r="E127" i="1"/>
  <c r="H127" i="1" s="1"/>
  <c r="F127" i="1"/>
  <c r="G127" i="1"/>
  <c r="A128" i="1"/>
  <c r="B128" i="1"/>
  <c r="C128" i="1"/>
  <c r="E128" i="1"/>
  <c r="H128" i="1" s="1"/>
  <c r="F128" i="1"/>
  <c r="G128" i="1"/>
  <c r="A129" i="1"/>
  <c r="B129" i="1"/>
  <c r="C129" i="1"/>
  <c r="E129" i="1"/>
  <c r="H129" i="1" s="1"/>
  <c r="F129" i="1"/>
  <c r="G129" i="1"/>
  <c r="A130" i="1"/>
  <c r="B130" i="1"/>
  <c r="C130" i="1"/>
  <c r="E130" i="1"/>
  <c r="H130" i="1" s="1"/>
  <c r="F130" i="1"/>
  <c r="G130" i="1"/>
  <c r="A131" i="1"/>
  <c r="B131" i="1"/>
  <c r="C131" i="1"/>
  <c r="E131" i="1"/>
  <c r="F131" i="1"/>
  <c r="G131" i="1"/>
  <c r="A132" i="1"/>
  <c r="B132" i="1"/>
  <c r="C132" i="1"/>
  <c r="E132" i="1"/>
  <c r="H132" i="1" s="1"/>
  <c r="F132" i="1"/>
  <c r="G132" i="1"/>
  <c r="A133" i="1"/>
  <c r="B133" i="1"/>
  <c r="C133" i="1"/>
  <c r="E133" i="1"/>
  <c r="F133" i="1"/>
  <c r="G133" i="1"/>
  <c r="A134" i="1"/>
  <c r="B134" i="1"/>
  <c r="C134" i="1"/>
  <c r="E134" i="1"/>
  <c r="H134" i="1" s="1"/>
  <c r="F134" i="1"/>
  <c r="G134" i="1"/>
  <c r="A135" i="1"/>
  <c r="B135" i="1"/>
  <c r="C135" i="1"/>
  <c r="E135" i="1"/>
  <c r="F135" i="1"/>
  <c r="G135" i="1"/>
  <c r="A136" i="1"/>
  <c r="B136" i="1"/>
  <c r="C136" i="1"/>
  <c r="E136" i="1"/>
  <c r="F136" i="1"/>
  <c r="G136" i="1"/>
  <c r="A137" i="1"/>
  <c r="B137" i="1"/>
  <c r="C137" i="1"/>
  <c r="E137" i="1"/>
  <c r="F137" i="1"/>
  <c r="G137" i="1"/>
  <c r="A138" i="1"/>
  <c r="B138" i="1"/>
  <c r="C138" i="1"/>
  <c r="E138" i="1"/>
  <c r="H138" i="1" s="1"/>
  <c r="F138" i="1"/>
  <c r="G138" i="1"/>
  <c r="A139" i="1"/>
  <c r="B139" i="1"/>
  <c r="C139" i="1"/>
  <c r="E139" i="1"/>
  <c r="H139" i="1" s="1"/>
  <c r="F139" i="1"/>
  <c r="G139" i="1"/>
  <c r="A140" i="1"/>
  <c r="B140" i="1"/>
  <c r="C140" i="1"/>
  <c r="E140" i="1"/>
  <c r="I140" i="1" s="1"/>
  <c r="F140" i="1"/>
  <c r="G140" i="1"/>
  <c r="A141" i="1"/>
  <c r="B141" i="1"/>
  <c r="C141" i="1"/>
  <c r="E141" i="1"/>
  <c r="H141" i="1" s="1"/>
  <c r="F141" i="1"/>
  <c r="G141" i="1"/>
  <c r="A142" i="1"/>
  <c r="B142" i="1"/>
  <c r="C142" i="1"/>
  <c r="E142" i="1"/>
  <c r="H142" i="1" s="1"/>
  <c r="F142" i="1"/>
  <c r="G142" i="1"/>
  <c r="A143" i="1"/>
  <c r="B143" i="1"/>
  <c r="C143" i="1"/>
  <c r="E143" i="1"/>
  <c r="H143" i="1" s="1"/>
  <c r="F143" i="1"/>
  <c r="G143" i="1"/>
  <c r="A144" i="1"/>
  <c r="B144" i="1"/>
  <c r="C144" i="1"/>
  <c r="E144" i="1"/>
  <c r="H144" i="1" s="1"/>
  <c r="F144" i="1"/>
  <c r="G144" i="1"/>
  <c r="A145" i="1"/>
  <c r="B145" i="1"/>
  <c r="C145" i="1"/>
  <c r="E145" i="1"/>
  <c r="H145" i="1" s="1"/>
  <c r="F145" i="1"/>
  <c r="G145" i="1"/>
  <c r="A146" i="1"/>
  <c r="B146" i="1"/>
  <c r="C146" i="1"/>
  <c r="E146" i="1"/>
  <c r="F146" i="1"/>
  <c r="G146" i="1"/>
  <c r="A147" i="1"/>
  <c r="B147" i="1"/>
  <c r="C147" i="1"/>
  <c r="E147" i="1"/>
  <c r="F147" i="1"/>
  <c r="G147" i="1"/>
  <c r="A148" i="1"/>
  <c r="B148" i="1"/>
  <c r="C148" i="1"/>
  <c r="E148" i="1"/>
  <c r="F148" i="1"/>
  <c r="G148" i="1"/>
  <c r="A149" i="1"/>
  <c r="B149" i="1"/>
  <c r="C149" i="1"/>
  <c r="E149" i="1"/>
  <c r="F149" i="1"/>
  <c r="G149" i="1"/>
  <c r="A150" i="1"/>
  <c r="B150" i="1"/>
  <c r="C150" i="1"/>
  <c r="E150" i="1"/>
  <c r="H150" i="1" s="1"/>
  <c r="F150" i="1"/>
  <c r="G150" i="1"/>
  <c r="A151" i="1"/>
  <c r="B151" i="1"/>
  <c r="C151" i="1"/>
  <c r="E151" i="1"/>
  <c r="F151" i="1"/>
  <c r="G151" i="1"/>
  <c r="A152" i="1"/>
  <c r="B152" i="1"/>
  <c r="C152" i="1"/>
  <c r="E152" i="1"/>
  <c r="H152" i="1" s="1"/>
  <c r="F152" i="1"/>
  <c r="G152" i="1"/>
  <c r="A153" i="1"/>
  <c r="B153" i="1"/>
  <c r="C153" i="1"/>
  <c r="E153" i="1"/>
  <c r="F153" i="1"/>
  <c r="G153" i="1"/>
  <c r="A154" i="1"/>
  <c r="B154" i="1"/>
  <c r="C154" i="1"/>
  <c r="E154" i="1"/>
  <c r="F154" i="1"/>
  <c r="G154" i="1"/>
  <c r="A155" i="1"/>
  <c r="B155" i="1"/>
  <c r="C155" i="1"/>
  <c r="E155" i="1"/>
  <c r="F155" i="1"/>
  <c r="G155" i="1"/>
  <c r="A156" i="1"/>
  <c r="B156" i="1"/>
  <c r="C156" i="1"/>
  <c r="E156" i="1"/>
  <c r="H156" i="1" s="1"/>
  <c r="F156" i="1"/>
  <c r="G156" i="1"/>
  <c r="A157" i="1"/>
  <c r="B157" i="1"/>
  <c r="C157" i="1"/>
  <c r="E157" i="1"/>
  <c r="F157" i="1"/>
  <c r="G157" i="1"/>
  <c r="A158" i="1"/>
  <c r="B158" i="1"/>
  <c r="C158" i="1"/>
  <c r="E158" i="1"/>
  <c r="F158" i="1"/>
  <c r="G158" i="1"/>
  <c r="A159" i="1"/>
  <c r="B159" i="1"/>
  <c r="C159" i="1"/>
  <c r="E159" i="1"/>
  <c r="F159" i="1"/>
  <c r="G159" i="1"/>
  <c r="A160" i="1"/>
  <c r="B160" i="1"/>
  <c r="C160" i="1"/>
  <c r="E160" i="1"/>
  <c r="H160" i="1" s="1"/>
  <c r="F160" i="1"/>
  <c r="G160" i="1"/>
  <c r="A161" i="1"/>
  <c r="B161" i="1"/>
  <c r="C161" i="1"/>
  <c r="E161" i="1"/>
  <c r="F161" i="1"/>
  <c r="G161" i="1"/>
  <c r="A162" i="1"/>
  <c r="B162" i="1"/>
  <c r="C162" i="1"/>
  <c r="E162" i="1"/>
  <c r="F162" i="1"/>
  <c r="G162" i="1"/>
  <c r="A163" i="1"/>
  <c r="B163" i="1"/>
  <c r="C163" i="1"/>
  <c r="E163" i="1"/>
  <c r="F163" i="1"/>
  <c r="G163" i="1"/>
  <c r="A164" i="1"/>
  <c r="B164" i="1"/>
  <c r="C164" i="1"/>
  <c r="E164" i="1"/>
  <c r="H164" i="1" s="1"/>
  <c r="F164" i="1"/>
  <c r="G164" i="1"/>
  <c r="A165" i="1"/>
  <c r="B165" i="1"/>
  <c r="C165" i="1"/>
  <c r="E165" i="1"/>
  <c r="F165" i="1"/>
  <c r="G165" i="1"/>
  <c r="A166" i="1"/>
  <c r="B166" i="1"/>
  <c r="C166" i="1"/>
  <c r="E166" i="1"/>
  <c r="F166" i="1"/>
  <c r="G166" i="1"/>
  <c r="A167" i="1"/>
  <c r="B167" i="1"/>
  <c r="C167" i="1"/>
  <c r="E167" i="1"/>
  <c r="F167" i="1"/>
  <c r="G167" i="1"/>
  <c r="A168" i="1"/>
  <c r="B168" i="1"/>
  <c r="C168" i="1"/>
  <c r="E168" i="1"/>
  <c r="H168" i="1" s="1"/>
  <c r="F168" i="1"/>
  <c r="G168" i="1"/>
  <c r="A169" i="1"/>
  <c r="B169" i="1"/>
  <c r="C169" i="1"/>
  <c r="E169" i="1"/>
  <c r="F169" i="1"/>
  <c r="G169" i="1"/>
  <c r="A170" i="1"/>
  <c r="B170" i="1"/>
  <c r="C170" i="1"/>
  <c r="E170" i="1"/>
  <c r="F170" i="1"/>
  <c r="G170" i="1"/>
  <c r="A171" i="1"/>
  <c r="B171" i="1"/>
  <c r="C171" i="1"/>
  <c r="E171" i="1"/>
  <c r="F171" i="1"/>
  <c r="G171" i="1"/>
  <c r="A172" i="1"/>
  <c r="B172" i="1"/>
  <c r="C172" i="1"/>
  <c r="E172" i="1"/>
  <c r="H172" i="1" s="1"/>
  <c r="F172" i="1"/>
  <c r="G172" i="1"/>
  <c r="A173" i="1"/>
  <c r="B173" i="1"/>
  <c r="C173" i="1"/>
  <c r="E173" i="1"/>
  <c r="F173" i="1"/>
  <c r="G173" i="1"/>
  <c r="A174" i="1"/>
  <c r="B174" i="1"/>
  <c r="C174" i="1"/>
  <c r="E174" i="1"/>
  <c r="H174" i="1" s="1"/>
  <c r="F174" i="1"/>
  <c r="G174" i="1"/>
  <c r="A175" i="1"/>
  <c r="B175" i="1"/>
  <c r="C175" i="1"/>
  <c r="E175" i="1"/>
  <c r="H175" i="1" s="1"/>
  <c r="F175" i="1"/>
  <c r="G175" i="1"/>
  <c r="A176" i="1"/>
  <c r="B176" i="1"/>
  <c r="C176" i="1"/>
  <c r="E176" i="1"/>
  <c r="H176" i="1" s="1"/>
  <c r="F176" i="1"/>
  <c r="G176" i="1"/>
  <c r="A177" i="1"/>
  <c r="B177" i="1"/>
  <c r="C177" i="1"/>
  <c r="E177" i="1"/>
  <c r="H177" i="1" s="1"/>
  <c r="F177" i="1"/>
  <c r="G177" i="1"/>
  <c r="A178" i="1"/>
  <c r="B178" i="1"/>
  <c r="C178" i="1"/>
  <c r="E178" i="1"/>
  <c r="H178" i="1" s="1"/>
  <c r="F178" i="1"/>
  <c r="G178" i="1"/>
  <c r="A179" i="1"/>
  <c r="B179" i="1"/>
  <c r="C179" i="1"/>
  <c r="E179" i="1"/>
  <c r="H179" i="1" s="1"/>
  <c r="F179" i="1"/>
  <c r="G179" i="1"/>
  <c r="A180" i="1"/>
  <c r="B180" i="1"/>
  <c r="C180" i="1"/>
  <c r="E180" i="1"/>
  <c r="H180" i="1" s="1"/>
  <c r="F180" i="1"/>
  <c r="G180" i="1"/>
  <c r="A181" i="1"/>
  <c r="B181" i="1"/>
  <c r="C181" i="1"/>
  <c r="E181" i="1"/>
  <c r="H181" i="1" s="1"/>
  <c r="F181" i="1"/>
  <c r="G181" i="1"/>
  <c r="A182" i="1"/>
  <c r="B182" i="1"/>
  <c r="C182" i="1"/>
  <c r="E182" i="1"/>
  <c r="F182" i="1"/>
  <c r="G182" i="1"/>
  <c r="A183" i="1"/>
  <c r="B183" i="1"/>
  <c r="C183" i="1"/>
  <c r="E183" i="1"/>
  <c r="F183" i="1"/>
  <c r="G183" i="1"/>
  <c r="A184" i="1"/>
  <c r="B184" i="1"/>
  <c r="C184" i="1"/>
  <c r="E184" i="1"/>
  <c r="F184" i="1"/>
  <c r="G184" i="1"/>
  <c r="A185" i="1"/>
  <c r="B185" i="1"/>
  <c r="C185" i="1"/>
  <c r="E185" i="1"/>
  <c r="F185" i="1"/>
  <c r="G185" i="1"/>
  <c r="A186" i="1"/>
  <c r="B186" i="1"/>
  <c r="C186" i="1"/>
  <c r="E186" i="1"/>
  <c r="F186" i="1"/>
  <c r="G186" i="1"/>
  <c r="A187" i="1"/>
  <c r="B187" i="1"/>
  <c r="C187" i="1"/>
  <c r="E187" i="1"/>
  <c r="H187" i="1" s="1"/>
  <c r="F187" i="1"/>
  <c r="G187" i="1"/>
  <c r="A188" i="1"/>
  <c r="B188" i="1"/>
  <c r="C188" i="1"/>
  <c r="E188" i="1"/>
  <c r="H188" i="1" s="1"/>
  <c r="F188" i="1"/>
  <c r="G188" i="1"/>
  <c r="A189" i="1"/>
  <c r="B189" i="1"/>
  <c r="C189" i="1"/>
  <c r="E189" i="1"/>
  <c r="H189" i="1" s="1"/>
  <c r="F189" i="1"/>
  <c r="G189" i="1"/>
  <c r="A190" i="1"/>
  <c r="B190" i="1"/>
  <c r="C190" i="1"/>
  <c r="E190" i="1"/>
  <c r="F190" i="1"/>
  <c r="G190" i="1"/>
  <c r="A191" i="1"/>
  <c r="B191" i="1"/>
  <c r="C191" i="1"/>
  <c r="E191" i="1"/>
  <c r="H191" i="1" s="1"/>
  <c r="F191" i="1"/>
  <c r="G191" i="1"/>
  <c r="A192" i="1"/>
  <c r="B192" i="1"/>
  <c r="C192" i="1"/>
  <c r="E192" i="1"/>
  <c r="F192" i="1"/>
  <c r="G192" i="1"/>
  <c r="A193" i="1"/>
  <c r="B193" i="1"/>
  <c r="C193" i="1"/>
  <c r="E193" i="1"/>
  <c r="H193" i="1" s="1"/>
  <c r="F193" i="1"/>
  <c r="G193" i="1"/>
  <c r="A194" i="1"/>
  <c r="B194" i="1"/>
  <c r="C194" i="1"/>
  <c r="E194" i="1"/>
  <c r="F194" i="1"/>
  <c r="G194" i="1"/>
  <c r="A195" i="1"/>
  <c r="B195" i="1"/>
  <c r="C195" i="1"/>
  <c r="E195" i="1"/>
  <c r="H195" i="1" s="1"/>
  <c r="F195" i="1"/>
  <c r="G195" i="1"/>
  <c r="A196" i="1"/>
  <c r="B196" i="1"/>
  <c r="C196" i="1"/>
  <c r="E196" i="1"/>
  <c r="H196" i="1" s="1"/>
  <c r="F196" i="1"/>
  <c r="G196" i="1"/>
  <c r="A197" i="1"/>
  <c r="B197" i="1"/>
  <c r="C197" i="1"/>
  <c r="E197" i="1"/>
  <c r="H197" i="1" s="1"/>
  <c r="F197" i="1"/>
  <c r="G197" i="1"/>
  <c r="A198" i="1"/>
  <c r="B198" i="1"/>
  <c r="C198" i="1"/>
  <c r="E198" i="1"/>
  <c r="F198" i="1"/>
  <c r="G198" i="1"/>
  <c r="A199" i="1"/>
  <c r="B199" i="1"/>
  <c r="C199" i="1"/>
  <c r="E199" i="1"/>
  <c r="H199" i="1" s="1"/>
  <c r="F199" i="1"/>
  <c r="G199" i="1"/>
  <c r="A200" i="1"/>
  <c r="B200" i="1"/>
  <c r="C200" i="1"/>
  <c r="E200" i="1"/>
  <c r="F200" i="1"/>
  <c r="G200" i="1"/>
  <c r="A201" i="1"/>
  <c r="B201" i="1"/>
  <c r="C201" i="1"/>
  <c r="E201" i="1"/>
  <c r="H201" i="1" s="1"/>
  <c r="F201" i="1"/>
  <c r="G201" i="1"/>
  <c r="A202" i="1"/>
  <c r="B202" i="1"/>
  <c r="C202" i="1"/>
  <c r="E202" i="1"/>
  <c r="H202" i="1" s="1"/>
  <c r="F202" i="1"/>
  <c r="G202" i="1"/>
  <c r="A203" i="1"/>
  <c r="B203" i="1"/>
  <c r="C203" i="1"/>
  <c r="E203" i="1"/>
  <c r="H203" i="1" s="1"/>
  <c r="F203" i="1"/>
  <c r="G203" i="1"/>
  <c r="A204" i="1"/>
  <c r="B204" i="1"/>
  <c r="C204" i="1"/>
  <c r="E204" i="1"/>
  <c r="F204" i="1"/>
  <c r="G204" i="1"/>
  <c r="A205" i="1"/>
  <c r="B205" i="1"/>
  <c r="C205" i="1"/>
  <c r="E205" i="1"/>
  <c r="H205" i="1" s="1"/>
  <c r="F205" i="1"/>
  <c r="G205" i="1"/>
  <c r="A206" i="1"/>
  <c r="B206" i="1"/>
  <c r="C206" i="1"/>
  <c r="E206" i="1"/>
  <c r="F206" i="1"/>
  <c r="G206" i="1"/>
  <c r="A207" i="1"/>
  <c r="B207" i="1"/>
  <c r="C207" i="1"/>
  <c r="E207" i="1"/>
  <c r="H207" i="1" s="1"/>
  <c r="F207" i="1"/>
  <c r="G207" i="1"/>
  <c r="A208" i="1"/>
  <c r="B208" i="1"/>
  <c r="C208" i="1"/>
  <c r="E208" i="1"/>
  <c r="F208" i="1"/>
  <c r="G208" i="1"/>
  <c r="A209" i="1"/>
  <c r="B209" i="1"/>
  <c r="C209" i="1"/>
  <c r="E209" i="1"/>
  <c r="H209" i="1" s="1"/>
  <c r="F209" i="1"/>
  <c r="G209" i="1"/>
  <c r="A210" i="1"/>
  <c r="B210" i="1"/>
  <c r="C210" i="1"/>
  <c r="E210" i="1"/>
  <c r="F210" i="1"/>
  <c r="G210" i="1"/>
  <c r="A211" i="1"/>
  <c r="B211" i="1"/>
  <c r="C211" i="1"/>
  <c r="E211" i="1"/>
  <c r="H211" i="1" s="1"/>
  <c r="F211" i="1"/>
  <c r="G211" i="1"/>
  <c r="A212" i="1"/>
  <c r="B212" i="1"/>
  <c r="C212" i="1"/>
  <c r="E212" i="1"/>
  <c r="H212" i="1" s="1"/>
  <c r="F212" i="1"/>
  <c r="G212" i="1"/>
  <c r="A213" i="1"/>
  <c r="B213" i="1"/>
  <c r="C213" i="1"/>
  <c r="E213" i="1"/>
  <c r="H213" i="1" s="1"/>
  <c r="F213" i="1"/>
  <c r="G213" i="1"/>
  <c r="A214" i="1"/>
  <c r="B214" i="1"/>
  <c r="C214" i="1"/>
  <c r="E214" i="1"/>
  <c r="F214" i="1"/>
  <c r="G214" i="1"/>
  <c r="A215" i="1"/>
  <c r="B215" i="1"/>
  <c r="C215" i="1"/>
  <c r="E215" i="1"/>
  <c r="H215" i="1" s="1"/>
  <c r="F215" i="1"/>
  <c r="G215" i="1"/>
  <c r="A216" i="1"/>
  <c r="B216" i="1"/>
  <c r="C216" i="1"/>
  <c r="E216" i="1"/>
  <c r="H216" i="1" s="1"/>
  <c r="F216" i="1"/>
  <c r="G216" i="1"/>
  <c r="A217" i="1"/>
  <c r="B217" i="1"/>
  <c r="C217" i="1"/>
  <c r="E217" i="1"/>
  <c r="H217" i="1" s="1"/>
  <c r="F217" i="1"/>
  <c r="G217" i="1"/>
  <c r="A218" i="1"/>
  <c r="B218" i="1"/>
  <c r="C218" i="1"/>
  <c r="E218" i="1"/>
  <c r="H218" i="1" s="1"/>
  <c r="F218" i="1"/>
  <c r="G218" i="1"/>
  <c r="A219" i="1"/>
  <c r="B219" i="1"/>
  <c r="C219" i="1"/>
  <c r="E219" i="1"/>
  <c r="H219" i="1" s="1"/>
  <c r="F219" i="1"/>
  <c r="G219" i="1"/>
  <c r="A220" i="1"/>
  <c r="B220" i="1"/>
  <c r="C220" i="1"/>
  <c r="E220" i="1"/>
  <c r="F220" i="1"/>
  <c r="G220" i="1"/>
  <c r="A221" i="1"/>
  <c r="B221" i="1"/>
  <c r="C221" i="1"/>
  <c r="E221" i="1"/>
  <c r="H221" i="1" s="1"/>
  <c r="F221" i="1"/>
  <c r="G221" i="1"/>
  <c r="A222" i="1"/>
  <c r="B222" i="1"/>
  <c r="C222" i="1"/>
  <c r="E222" i="1"/>
  <c r="F222" i="1"/>
  <c r="G222" i="1"/>
  <c r="A223" i="1"/>
  <c r="B223" i="1"/>
  <c r="C223" i="1"/>
  <c r="E223" i="1"/>
  <c r="I223" i="1" s="1"/>
  <c r="F223" i="1"/>
  <c r="G223" i="1"/>
  <c r="A224" i="1"/>
  <c r="B224" i="1"/>
  <c r="C224" i="1"/>
  <c r="E224" i="1"/>
  <c r="H224" i="1" s="1"/>
  <c r="F224" i="1"/>
  <c r="G224" i="1"/>
  <c r="A225" i="1"/>
  <c r="B225" i="1"/>
  <c r="C225" i="1"/>
  <c r="E225" i="1"/>
  <c r="H225" i="1" s="1"/>
  <c r="F225" i="1"/>
  <c r="G225" i="1"/>
  <c r="A226" i="1"/>
  <c r="B226" i="1"/>
  <c r="C226" i="1"/>
  <c r="E226" i="1"/>
  <c r="H226" i="1" s="1"/>
  <c r="F226" i="1"/>
  <c r="G226" i="1"/>
  <c r="A227" i="1"/>
  <c r="B227" i="1"/>
  <c r="C227" i="1"/>
  <c r="E227" i="1"/>
  <c r="F227" i="1"/>
  <c r="G227" i="1"/>
  <c r="A228" i="1"/>
  <c r="B228" i="1"/>
  <c r="C228" i="1"/>
  <c r="E228" i="1"/>
  <c r="H228" i="1" s="1"/>
  <c r="F228" i="1"/>
  <c r="G228" i="1"/>
  <c r="A229" i="1"/>
  <c r="B229" i="1"/>
  <c r="C229" i="1"/>
  <c r="E229" i="1"/>
  <c r="H229" i="1" s="1"/>
  <c r="F229" i="1"/>
  <c r="G229" i="1"/>
  <c r="A230" i="1"/>
  <c r="B230" i="1"/>
  <c r="C230" i="1"/>
  <c r="E230" i="1"/>
  <c r="H230" i="1" s="1"/>
  <c r="F230" i="1"/>
  <c r="G230" i="1"/>
  <c r="A231" i="1"/>
  <c r="B231" i="1"/>
  <c r="C231" i="1"/>
  <c r="E231" i="1"/>
  <c r="H231" i="1" s="1"/>
  <c r="F231" i="1"/>
  <c r="G231" i="1"/>
  <c r="A232" i="1"/>
  <c r="B232" i="1"/>
  <c r="C232" i="1"/>
  <c r="E232" i="1"/>
  <c r="F232" i="1"/>
  <c r="G232" i="1"/>
  <c r="A233" i="1"/>
  <c r="B233" i="1"/>
  <c r="C233" i="1"/>
  <c r="E233" i="1"/>
  <c r="H233" i="1" s="1"/>
  <c r="F233" i="1"/>
  <c r="G233" i="1"/>
  <c r="A234" i="1"/>
  <c r="B234" i="1"/>
  <c r="C234" i="1"/>
  <c r="E234" i="1"/>
  <c r="F234" i="1"/>
  <c r="G234" i="1"/>
  <c r="A235" i="1"/>
  <c r="B235" i="1"/>
  <c r="C235" i="1"/>
  <c r="E235" i="1"/>
  <c r="H235" i="1" s="1"/>
  <c r="F235" i="1"/>
  <c r="G235" i="1"/>
  <c r="A236" i="1"/>
  <c r="B236" i="1"/>
  <c r="C236" i="1"/>
  <c r="E236" i="1"/>
  <c r="F236" i="1"/>
  <c r="G236" i="1"/>
  <c r="A237" i="1"/>
  <c r="B237" i="1"/>
  <c r="C237" i="1"/>
  <c r="E237" i="1"/>
  <c r="H237" i="1" s="1"/>
  <c r="F237" i="1"/>
  <c r="G237" i="1"/>
  <c r="A238" i="1"/>
  <c r="B238" i="1"/>
  <c r="C238" i="1"/>
  <c r="E238" i="1"/>
  <c r="F238" i="1"/>
  <c r="G238" i="1"/>
  <c r="A239" i="1"/>
  <c r="B239" i="1"/>
  <c r="C239" i="1"/>
  <c r="E239" i="1"/>
  <c r="H239" i="1" s="1"/>
  <c r="F239" i="1"/>
  <c r="G239" i="1"/>
  <c r="A240" i="1"/>
  <c r="B240" i="1"/>
  <c r="C240" i="1"/>
  <c r="E240" i="1"/>
  <c r="F240" i="1"/>
  <c r="G240" i="1"/>
  <c r="A241" i="1"/>
  <c r="B241" i="1"/>
  <c r="C241" i="1"/>
  <c r="E241" i="1"/>
  <c r="H241" i="1" s="1"/>
  <c r="F241" i="1"/>
  <c r="G241" i="1"/>
  <c r="A242" i="1"/>
  <c r="B242" i="1"/>
  <c r="C242" i="1"/>
  <c r="E242" i="1"/>
  <c r="F242" i="1"/>
  <c r="G242" i="1"/>
  <c r="A243" i="1"/>
  <c r="B243" i="1"/>
  <c r="C243" i="1"/>
  <c r="E243" i="1"/>
  <c r="H243" i="1" s="1"/>
  <c r="F243" i="1"/>
  <c r="G243" i="1"/>
  <c r="A244" i="1"/>
  <c r="B244" i="1"/>
  <c r="C244" i="1"/>
  <c r="E244" i="1"/>
  <c r="H244" i="1" s="1"/>
  <c r="F244" i="1"/>
  <c r="G244" i="1"/>
  <c r="A245" i="1"/>
  <c r="B245" i="1"/>
  <c r="C245" i="1"/>
  <c r="E245" i="1"/>
  <c r="H245" i="1" s="1"/>
  <c r="F245" i="1"/>
  <c r="G245" i="1"/>
  <c r="A246" i="1"/>
  <c r="B246" i="1"/>
  <c r="C246" i="1"/>
  <c r="E246" i="1"/>
  <c r="F246" i="1"/>
  <c r="G246" i="1"/>
  <c r="A247" i="1"/>
  <c r="B247" i="1"/>
  <c r="C247" i="1"/>
  <c r="E247" i="1"/>
  <c r="H247" i="1" s="1"/>
  <c r="F247" i="1"/>
  <c r="G247" i="1"/>
  <c r="A248" i="1"/>
  <c r="B248" i="1"/>
  <c r="C248" i="1"/>
  <c r="E248" i="1"/>
  <c r="H248" i="1" s="1"/>
  <c r="F248" i="1"/>
  <c r="G248" i="1"/>
  <c r="A249" i="1"/>
  <c r="B249" i="1"/>
  <c r="C249" i="1"/>
  <c r="E249" i="1"/>
  <c r="H249" i="1" s="1"/>
  <c r="F249" i="1"/>
  <c r="G249" i="1"/>
  <c r="A250" i="1"/>
  <c r="B250" i="1"/>
  <c r="C250" i="1"/>
  <c r="E250" i="1"/>
  <c r="H250" i="1" s="1"/>
  <c r="F250" i="1"/>
  <c r="G250" i="1"/>
  <c r="A251" i="1"/>
  <c r="B251" i="1"/>
  <c r="C251" i="1"/>
  <c r="E251" i="1"/>
  <c r="H251" i="1" s="1"/>
  <c r="F251" i="1"/>
  <c r="G251" i="1"/>
  <c r="A252" i="1"/>
  <c r="B252" i="1"/>
  <c r="C252" i="1"/>
  <c r="E252" i="1"/>
  <c r="F252" i="1"/>
  <c r="G252" i="1"/>
  <c r="A253" i="1"/>
  <c r="B253" i="1"/>
  <c r="C253" i="1"/>
  <c r="E253" i="1"/>
  <c r="H253" i="1" s="1"/>
  <c r="F253" i="1"/>
  <c r="G253" i="1"/>
  <c r="A254" i="1"/>
  <c r="B254" i="1"/>
  <c r="C254" i="1"/>
  <c r="E254" i="1"/>
  <c r="F254" i="1"/>
  <c r="G254" i="1"/>
  <c r="A255" i="1"/>
  <c r="B255" i="1"/>
  <c r="C255" i="1"/>
  <c r="E255" i="1"/>
  <c r="H255" i="1" s="1"/>
  <c r="F255" i="1"/>
  <c r="G255" i="1"/>
  <c r="A256" i="1"/>
  <c r="B256" i="1"/>
  <c r="C256" i="1"/>
  <c r="E256" i="1"/>
  <c r="F256" i="1"/>
  <c r="G256" i="1"/>
  <c r="A257" i="1"/>
  <c r="B257" i="1"/>
  <c r="C257" i="1"/>
  <c r="E257" i="1"/>
  <c r="H257" i="1" s="1"/>
  <c r="F257" i="1"/>
  <c r="G257" i="1"/>
  <c r="A258" i="1"/>
  <c r="B258" i="1"/>
  <c r="C258" i="1"/>
  <c r="E258" i="1"/>
  <c r="F258" i="1"/>
  <c r="G258" i="1"/>
  <c r="A259" i="1"/>
  <c r="B259" i="1"/>
  <c r="C259" i="1"/>
  <c r="E259" i="1"/>
  <c r="H259" i="1" s="1"/>
  <c r="F259" i="1"/>
  <c r="G259" i="1"/>
  <c r="A260" i="1"/>
  <c r="B260" i="1"/>
  <c r="C260" i="1"/>
  <c r="E260" i="1"/>
  <c r="H260" i="1" s="1"/>
  <c r="F260" i="1"/>
  <c r="G260" i="1"/>
  <c r="A261" i="1"/>
  <c r="B261" i="1"/>
  <c r="C261" i="1"/>
  <c r="E261" i="1"/>
  <c r="H261" i="1" s="1"/>
  <c r="F261" i="1"/>
  <c r="G261" i="1"/>
  <c r="A262" i="1"/>
  <c r="B262" i="1"/>
  <c r="C262" i="1"/>
  <c r="E262" i="1"/>
  <c r="H262" i="1" s="1"/>
  <c r="F262" i="1"/>
  <c r="G262" i="1"/>
  <c r="A263" i="1"/>
  <c r="B263" i="1"/>
  <c r="C263" i="1"/>
  <c r="E263" i="1"/>
  <c r="H263" i="1" s="1"/>
  <c r="F263" i="1"/>
  <c r="G263" i="1"/>
  <c r="A264" i="1"/>
  <c r="B264" i="1"/>
  <c r="C264" i="1"/>
  <c r="E264" i="1"/>
  <c r="F264" i="1"/>
  <c r="G264" i="1"/>
  <c r="A265" i="1"/>
  <c r="B265" i="1"/>
  <c r="C265" i="1"/>
  <c r="E265" i="1"/>
  <c r="H265" i="1" s="1"/>
  <c r="F265" i="1"/>
  <c r="G265" i="1"/>
  <c r="A266" i="1"/>
  <c r="B266" i="1"/>
  <c r="C266" i="1"/>
  <c r="E266" i="1"/>
  <c r="F266" i="1"/>
  <c r="G266" i="1"/>
  <c r="A267" i="1"/>
  <c r="B267" i="1"/>
  <c r="C267" i="1"/>
  <c r="E267" i="1"/>
  <c r="H267" i="1" s="1"/>
  <c r="F267" i="1"/>
  <c r="G267" i="1"/>
  <c r="A268" i="1"/>
  <c r="B268" i="1"/>
  <c r="C268" i="1"/>
  <c r="E268" i="1"/>
  <c r="H268" i="1" s="1"/>
  <c r="F268" i="1"/>
  <c r="G268" i="1"/>
  <c r="A269" i="1"/>
  <c r="B269" i="1"/>
  <c r="C269" i="1"/>
  <c r="E269" i="1"/>
  <c r="H269" i="1" s="1"/>
  <c r="F269" i="1"/>
  <c r="G269" i="1"/>
  <c r="A270" i="1"/>
  <c r="B270" i="1"/>
  <c r="C270" i="1"/>
  <c r="E270" i="1"/>
  <c r="F270" i="1"/>
  <c r="G270" i="1"/>
  <c r="A271" i="1"/>
  <c r="B271" i="1"/>
  <c r="C271" i="1"/>
  <c r="E271" i="1"/>
  <c r="H271" i="1" s="1"/>
  <c r="F271" i="1"/>
  <c r="G271" i="1"/>
  <c r="A272" i="1"/>
  <c r="B272" i="1"/>
  <c r="C272" i="1"/>
  <c r="E272" i="1"/>
  <c r="H272" i="1" s="1"/>
  <c r="F272" i="1"/>
  <c r="G272" i="1"/>
  <c r="A273" i="1"/>
  <c r="B273" i="1"/>
  <c r="C273" i="1"/>
  <c r="E273" i="1"/>
  <c r="H273" i="1" s="1"/>
  <c r="F273" i="1"/>
  <c r="G273" i="1"/>
  <c r="A274" i="1"/>
  <c r="B274" i="1"/>
  <c r="C274" i="1"/>
  <c r="E274" i="1"/>
  <c r="H274" i="1" s="1"/>
  <c r="F274" i="1"/>
  <c r="G274" i="1"/>
  <c r="A275" i="1"/>
  <c r="B275" i="1"/>
  <c r="C275" i="1"/>
  <c r="E275" i="1"/>
  <c r="H275" i="1" s="1"/>
  <c r="F275" i="1"/>
  <c r="G275" i="1"/>
  <c r="A276" i="1"/>
  <c r="B276" i="1"/>
  <c r="C276" i="1"/>
  <c r="E276" i="1"/>
  <c r="H276" i="1" s="1"/>
  <c r="F276" i="1"/>
  <c r="G276" i="1"/>
  <c r="A277" i="1"/>
  <c r="B277" i="1"/>
  <c r="C277" i="1"/>
  <c r="E277" i="1"/>
  <c r="H277" i="1" s="1"/>
  <c r="F277" i="1"/>
  <c r="G277" i="1"/>
  <c r="A278" i="1"/>
  <c r="B278" i="1"/>
  <c r="C278" i="1"/>
  <c r="E278" i="1"/>
  <c r="H278" i="1" s="1"/>
  <c r="F278" i="1"/>
  <c r="G278" i="1"/>
  <c r="A279" i="1"/>
  <c r="B279" i="1"/>
  <c r="C279" i="1"/>
  <c r="E279" i="1"/>
  <c r="H279" i="1" s="1"/>
  <c r="F279" i="1"/>
  <c r="G279" i="1"/>
  <c r="A280" i="1"/>
  <c r="B280" i="1"/>
  <c r="C280" i="1"/>
  <c r="E280" i="1"/>
  <c r="H280" i="1" s="1"/>
  <c r="F280" i="1"/>
  <c r="G280" i="1"/>
  <c r="A281" i="1"/>
  <c r="B281" i="1"/>
  <c r="C281" i="1"/>
  <c r="E281" i="1"/>
  <c r="H281" i="1" s="1"/>
  <c r="F281" i="1"/>
  <c r="G281" i="1"/>
  <c r="A282" i="1"/>
  <c r="B282" i="1"/>
  <c r="C282" i="1"/>
  <c r="E282" i="1"/>
  <c r="H282" i="1" s="1"/>
  <c r="F282" i="1"/>
  <c r="G282" i="1"/>
  <c r="A283" i="1"/>
  <c r="B283" i="1"/>
  <c r="C283" i="1"/>
  <c r="E283" i="1"/>
  <c r="I283" i="1" s="1"/>
  <c r="F283" i="1"/>
  <c r="G283" i="1"/>
  <c r="A284" i="1"/>
  <c r="B284" i="1"/>
  <c r="C284" i="1"/>
  <c r="E284" i="1"/>
  <c r="H284" i="1" s="1"/>
  <c r="F284" i="1"/>
  <c r="G284" i="1"/>
  <c r="A285" i="1"/>
  <c r="B285" i="1"/>
  <c r="C285" i="1"/>
  <c r="E285" i="1"/>
  <c r="H285" i="1" s="1"/>
  <c r="F285" i="1"/>
  <c r="G285" i="1"/>
  <c r="A286" i="1"/>
  <c r="B286" i="1"/>
  <c r="C286" i="1"/>
  <c r="E286" i="1"/>
  <c r="F286" i="1"/>
  <c r="G286" i="1"/>
  <c r="A287" i="1"/>
  <c r="B287" i="1"/>
  <c r="C287" i="1"/>
  <c r="E287" i="1"/>
  <c r="H287" i="1" s="1"/>
  <c r="F287" i="1"/>
  <c r="G287" i="1"/>
  <c r="A288" i="1"/>
  <c r="B288" i="1"/>
  <c r="C288" i="1"/>
  <c r="E288" i="1"/>
  <c r="H288" i="1" s="1"/>
  <c r="F288" i="1"/>
  <c r="G288" i="1"/>
  <c r="A289" i="1"/>
  <c r="B289" i="1"/>
  <c r="C289" i="1"/>
  <c r="E289" i="1"/>
  <c r="H289" i="1" s="1"/>
  <c r="F289" i="1"/>
  <c r="G289" i="1"/>
  <c r="A290" i="1"/>
  <c r="B290" i="1"/>
  <c r="C290" i="1"/>
  <c r="E290" i="1"/>
  <c r="H290" i="1" s="1"/>
  <c r="F290" i="1"/>
  <c r="G290" i="1"/>
  <c r="A291" i="1"/>
  <c r="B291" i="1"/>
  <c r="C291" i="1"/>
  <c r="E291" i="1"/>
  <c r="H291" i="1" s="1"/>
  <c r="F291" i="1"/>
  <c r="G291" i="1"/>
  <c r="A292" i="1"/>
  <c r="B292" i="1"/>
  <c r="C292" i="1"/>
  <c r="E292" i="1"/>
  <c r="H292" i="1" s="1"/>
  <c r="F292" i="1"/>
  <c r="G292" i="1"/>
  <c r="A293" i="1"/>
  <c r="B293" i="1"/>
  <c r="C293" i="1"/>
  <c r="E293" i="1"/>
  <c r="H293" i="1" s="1"/>
  <c r="F293" i="1"/>
  <c r="G293" i="1"/>
  <c r="A294" i="1"/>
  <c r="B294" i="1"/>
  <c r="C294" i="1"/>
  <c r="E294" i="1"/>
  <c r="F294" i="1"/>
  <c r="G294" i="1"/>
  <c r="A295" i="1"/>
  <c r="B295" i="1"/>
  <c r="C295" i="1"/>
  <c r="E295" i="1"/>
  <c r="H295" i="1" s="1"/>
  <c r="F295" i="1"/>
  <c r="G295" i="1"/>
  <c r="A296" i="1"/>
  <c r="B296" i="1"/>
  <c r="C296" i="1"/>
  <c r="E296" i="1"/>
  <c r="H296" i="1" s="1"/>
  <c r="F296" i="1"/>
  <c r="G296" i="1"/>
  <c r="A297" i="1"/>
  <c r="B297" i="1"/>
  <c r="C297" i="1"/>
  <c r="E297" i="1"/>
  <c r="H297" i="1" s="1"/>
  <c r="F297" i="1"/>
  <c r="G297" i="1"/>
  <c r="A298" i="1"/>
  <c r="B298" i="1"/>
  <c r="C298" i="1"/>
  <c r="E298" i="1"/>
  <c r="H298" i="1" s="1"/>
  <c r="F298" i="1"/>
  <c r="G298" i="1"/>
  <c r="A299" i="1"/>
  <c r="B299" i="1"/>
  <c r="C299" i="1"/>
  <c r="E299" i="1"/>
  <c r="H299" i="1" s="1"/>
  <c r="F299" i="1"/>
  <c r="G299" i="1"/>
  <c r="A300" i="1"/>
  <c r="B300" i="1"/>
  <c r="C300" i="1"/>
  <c r="E300" i="1"/>
  <c r="H300" i="1" s="1"/>
  <c r="F300" i="1"/>
  <c r="G300" i="1"/>
  <c r="A301" i="1"/>
  <c r="B301" i="1"/>
  <c r="C301" i="1"/>
  <c r="E301" i="1"/>
  <c r="H301" i="1" s="1"/>
  <c r="F301" i="1"/>
  <c r="G301" i="1"/>
  <c r="A302" i="1"/>
  <c r="B302" i="1"/>
  <c r="C302" i="1"/>
  <c r="E302" i="1"/>
  <c r="H302" i="1" s="1"/>
  <c r="F302" i="1"/>
  <c r="G302" i="1"/>
  <c r="A303" i="1"/>
  <c r="B303" i="1"/>
  <c r="C303" i="1"/>
  <c r="E303" i="1"/>
  <c r="H303" i="1" s="1"/>
  <c r="F303" i="1"/>
  <c r="G303" i="1"/>
  <c r="A304" i="1"/>
  <c r="B304" i="1"/>
  <c r="C304" i="1"/>
  <c r="E304" i="1"/>
  <c r="H304" i="1" s="1"/>
  <c r="F304" i="1"/>
  <c r="G304" i="1"/>
  <c r="A305" i="1"/>
  <c r="B305" i="1"/>
  <c r="C305" i="1"/>
  <c r="E305" i="1"/>
  <c r="H305" i="1" s="1"/>
  <c r="F305" i="1"/>
  <c r="G305" i="1"/>
  <c r="A306" i="1"/>
  <c r="B306" i="1"/>
  <c r="C306" i="1"/>
  <c r="E306" i="1"/>
  <c r="H306" i="1" s="1"/>
  <c r="F306" i="1"/>
  <c r="G306" i="1"/>
  <c r="A307" i="1"/>
  <c r="B307" i="1"/>
  <c r="C307" i="1"/>
  <c r="E307" i="1"/>
  <c r="I307" i="1" s="1"/>
  <c r="F307" i="1"/>
  <c r="G307" i="1"/>
  <c r="A308" i="1"/>
  <c r="B308" i="1"/>
  <c r="C308" i="1"/>
  <c r="E308" i="1"/>
  <c r="H308" i="1" s="1"/>
  <c r="F308" i="1"/>
  <c r="G308" i="1"/>
  <c r="A309" i="1"/>
  <c r="B309" i="1"/>
  <c r="C309" i="1"/>
  <c r="E309" i="1"/>
  <c r="H309" i="1" s="1"/>
  <c r="F309" i="1"/>
  <c r="G309" i="1"/>
  <c r="A310" i="1"/>
  <c r="B310" i="1"/>
  <c r="C310" i="1"/>
  <c r="E310" i="1"/>
  <c r="H310" i="1" s="1"/>
  <c r="F310" i="1"/>
  <c r="G310" i="1"/>
  <c r="A311" i="1"/>
  <c r="B311" i="1"/>
  <c r="C311" i="1"/>
  <c r="E311" i="1"/>
  <c r="H311" i="1" s="1"/>
  <c r="F311" i="1"/>
  <c r="G311" i="1"/>
  <c r="A312" i="1"/>
  <c r="B312" i="1"/>
  <c r="C312" i="1"/>
  <c r="E312" i="1"/>
  <c r="H312" i="1" s="1"/>
  <c r="F312" i="1"/>
  <c r="G312" i="1"/>
  <c r="A313" i="1"/>
  <c r="B313" i="1"/>
  <c r="C313" i="1"/>
  <c r="E313" i="1"/>
  <c r="H313" i="1" s="1"/>
  <c r="F313" i="1"/>
  <c r="G313" i="1"/>
  <c r="A314" i="1"/>
  <c r="B314" i="1"/>
  <c r="C314" i="1"/>
  <c r="E314" i="1"/>
  <c r="H314" i="1" s="1"/>
  <c r="F314" i="1"/>
  <c r="G314" i="1"/>
  <c r="A315" i="1"/>
  <c r="B315" i="1"/>
  <c r="C315" i="1"/>
  <c r="E315" i="1"/>
  <c r="H315" i="1" s="1"/>
  <c r="F315" i="1"/>
  <c r="G315" i="1"/>
  <c r="A316" i="1"/>
  <c r="B316" i="1"/>
  <c r="C316" i="1"/>
  <c r="E316" i="1"/>
  <c r="H316" i="1" s="1"/>
  <c r="F316" i="1"/>
  <c r="G316" i="1"/>
  <c r="A317" i="1"/>
  <c r="B317" i="1"/>
  <c r="C317" i="1"/>
  <c r="E317" i="1"/>
  <c r="H317" i="1" s="1"/>
  <c r="F317" i="1"/>
  <c r="G317" i="1"/>
  <c r="A318" i="1"/>
  <c r="B318" i="1"/>
  <c r="C318" i="1"/>
  <c r="E318" i="1"/>
  <c r="H318" i="1" s="1"/>
  <c r="F318" i="1"/>
  <c r="G318" i="1"/>
  <c r="A319" i="1"/>
  <c r="B319" i="1"/>
  <c r="C319" i="1"/>
  <c r="E319" i="1"/>
  <c r="H319" i="1" s="1"/>
  <c r="F319" i="1"/>
  <c r="G319" i="1"/>
  <c r="A320" i="1"/>
  <c r="B320" i="1"/>
  <c r="C320" i="1"/>
  <c r="E320" i="1"/>
  <c r="H320" i="1" s="1"/>
  <c r="F320" i="1"/>
  <c r="G320" i="1"/>
  <c r="A321" i="1"/>
  <c r="B321" i="1"/>
  <c r="C321" i="1"/>
  <c r="E321" i="1"/>
  <c r="H321" i="1" s="1"/>
  <c r="F321" i="1"/>
  <c r="G321" i="1"/>
  <c r="A322" i="1"/>
  <c r="B322" i="1"/>
  <c r="C322" i="1"/>
  <c r="E322" i="1"/>
  <c r="H322" i="1" s="1"/>
  <c r="F322" i="1"/>
  <c r="G322" i="1"/>
  <c r="A323" i="1"/>
  <c r="B323" i="1"/>
  <c r="C323" i="1"/>
  <c r="E323" i="1"/>
  <c r="H323" i="1" s="1"/>
  <c r="F323" i="1"/>
  <c r="G323" i="1"/>
  <c r="A324" i="1"/>
  <c r="B324" i="1"/>
  <c r="C324" i="1"/>
  <c r="E324" i="1"/>
  <c r="H324" i="1" s="1"/>
  <c r="F324" i="1"/>
  <c r="G324" i="1"/>
  <c r="A325" i="1"/>
  <c r="B325" i="1"/>
  <c r="C325" i="1"/>
  <c r="E325" i="1"/>
  <c r="H325" i="1" s="1"/>
  <c r="F325" i="1"/>
  <c r="G325" i="1"/>
  <c r="A326" i="1"/>
  <c r="B326" i="1"/>
  <c r="C326" i="1"/>
  <c r="E326" i="1"/>
  <c r="H326" i="1" s="1"/>
  <c r="F326" i="1"/>
  <c r="G326" i="1"/>
  <c r="A327" i="1"/>
  <c r="B327" i="1"/>
  <c r="C327" i="1"/>
  <c r="E327" i="1"/>
  <c r="H327" i="1" s="1"/>
  <c r="F327" i="1"/>
  <c r="G327" i="1"/>
  <c r="A328" i="1"/>
  <c r="B328" i="1"/>
  <c r="C328" i="1"/>
  <c r="E328" i="1"/>
  <c r="H328" i="1" s="1"/>
  <c r="F328" i="1"/>
  <c r="G328" i="1"/>
  <c r="A329" i="1"/>
  <c r="B329" i="1"/>
  <c r="C329" i="1"/>
  <c r="E329" i="1"/>
  <c r="I329" i="1" s="1"/>
  <c r="F329" i="1"/>
  <c r="G329" i="1"/>
  <c r="A330" i="1"/>
  <c r="B330" i="1"/>
  <c r="C330" i="1"/>
  <c r="E330" i="1"/>
  <c r="H330" i="1" s="1"/>
  <c r="F330" i="1"/>
  <c r="G330" i="1"/>
  <c r="A331" i="1"/>
  <c r="B331" i="1"/>
  <c r="C331" i="1"/>
  <c r="E331" i="1"/>
  <c r="H331" i="1" s="1"/>
  <c r="F331" i="1"/>
  <c r="G331" i="1"/>
  <c r="A332" i="1"/>
  <c r="B332" i="1"/>
  <c r="C332" i="1"/>
  <c r="E332" i="1"/>
  <c r="H332" i="1" s="1"/>
  <c r="F332" i="1"/>
  <c r="G332" i="1"/>
  <c r="A333" i="1"/>
  <c r="B333" i="1"/>
  <c r="C333" i="1"/>
  <c r="E333" i="1"/>
  <c r="I333" i="1" s="1"/>
  <c r="F333" i="1"/>
  <c r="G333" i="1"/>
  <c r="A334" i="1"/>
  <c r="B334" i="1"/>
  <c r="C334" i="1"/>
  <c r="E334" i="1"/>
  <c r="H334" i="1" s="1"/>
  <c r="F334" i="1"/>
  <c r="G334" i="1"/>
  <c r="A335" i="1"/>
  <c r="B335" i="1"/>
  <c r="C335" i="1"/>
  <c r="E335" i="1"/>
  <c r="H335" i="1" s="1"/>
  <c r="F335" i="1"/>
  <c r="G335" i="1"/>
  <c r="A336" i="1"/>
  <c r="B336" i="1"/>
  <c r="C336" i="1"/>
  <c r="E336" i="1"/>
  <c r="H336" i="1" s="1"/>
  <c r="F336" i="1"/>
  <c r="G336" i="1"/>
  <c r="A337" i="1"/>
  <c r="B337" i="1"/>
  <c r="C337" i="1"/>
  <c r="E337" i="1"/>
  <c r="H337" i="1" s="1"/>
  <c r="F337" i="1"/>
  <c r="G337" i="1"/>
  <c r="A338" i="1"/>
  <c r="B338" i="1"/>
  <c r="C338" i="1"/>
  <c r="E338" i="1"/>
  <c r="H338" i="1" s="1"/>
  <c r="F338" i="1"/>
  <c r="G338" i="1"/>
  <c r="A339" i="1"/>
  <c r="B339" i="1"/>
  <c r="C339" i="1"/>
  <c r="E339" i="1"/>
  <c r="H339" i="1" s="1"/>
  <c r="F339" i="1"/>
  <c r="G339" i="1"/>
  <c r="A340" i="1"/>
  <c r="B340" i="1"/>
  <c r="C340" i="1"/>
  <c r="E340" i="1"/>
  <c r="H340" i="1" s="1"/>
  <c r="F340" i="1"/>
  <c r="G340" i="1"/>
  <c r="A341" i="1"/>
  <c r="B341" i="1"/>
  <c r="C341" i="1"/>
  <c r="E341" i="1"/>
  <c r="H341" i="1" s="1"/>
  <c r="F341" i="1"/>
  <c r="G341" i="1"/>
  <c r="A342" i="1"/>
  <c r="B342" i="1"/>
  <c r="C342" i="1"/>
  <c r="E342" i="1"/>
  <c r="H342" i="1" s="1"/>
  <c r="F342" i="1"/>
  <c r="G342" i="1"/>
  <c r="A343" i="1"/>
  <c r="B343" i="1"/>
  <c r="C343" i="1"/>
  <c r="E343" i="1"/>
  <c r="H343" i="1" s="1"/>
  <c r="F343" i="1"/>
  <c r="G343" i="1"/>
  <c r="A344" i="1"/>
  <c r="B344" i="1"/>
  <c r="C344" i="1"/>
  <c r="E344" i="1"/>
  <c r="H344" i="1" s="1"/>
  <c r="F344" i="1"/>
  <c r="G344" i="1"/>
  <c r="A345" i="1"/>
  <c r="B345" i="1"/>
  <c r="C345" i="1"/>
  <c r="E345" i="1"/>
  <c r="H345" i="1" s="1"/>
  <c r="F345" i="1"/>
  <c r="G345" i="1"/>
  <c r="A346" i="1"/>
  <c r="B346" i="1"/>
  <c r="C346" i="1"/>
  <c r="E346" i="1"/>
  <c r="H346" i="1" s="1"/>
  <c r="F346" i="1"/>
  <c r="G346" i="1"/>
  <c r="A347" i="1"/>
  <c r="B347" i="1"/>
  <c r="C347" i="1"/>
  <c r="E347" i="1"/>
  <c r="H347" i="1" s="1"/>
  <c r="F347" i="1"/>
  <c r="G347" i="1"/>
  <c r="A348" i="1"/>
  <c r="B348" i="1"/>
  <c r="C348" i="1"/>
  <c r="E348" i="1"/>
  <c r="H348" i="1" s="1"/>
  <c r="F348" i="1"/>
  <c r="G348" i="1"/>
  <c r="A349" i="1"/>
  <c r="B349" i="1"/>
  <c r="C349" i="1"/>
  <c r="E349" i="1"/>
  <c r="I349" i="1" s="1"/>
  <c r="F349" i="1"/>
  <c r="G349" i="1"/>
  <c r="A350" i="1"/>
  <c r="B350" i="1"/>
  <c r="C350" i="1"/>
  <c r="E350" i="1"/>
  <c r="H350" i="1" s="1"/>
  <c r="F350" i="1"/>
  <c r="G350" i="1"/>
  <c r="A3" i="1"/>
  <c r="B3" i="1"/>
  <c r="C3" i="1"/>
  <c r="E3" i="1"/>
  <c r="H3" i="1" s="1"/>
  <c r="F3" i="1"/>
  <c r="G3" i="1"/>
  <c r="G2" i="1"/>
  <c r="F2" i="1"/>
  <c r="E2" i="1"/>
  <c r="H2" i="1" s="1"/>
  <c r="C2" i="1"/>
  <c r="B2" i="1"/>
  <c r="A2" i="1"/>
  <c r="D217" i="1" l="1"/>
  <c r="D218" i="1"/>
  <c r="I249" i="1"/>
  <c r="D250" i="1"/>
  <c r="D249" i="1"/>
  <c r="I247" i="1"/>
  <c r="D245" i="1"/>
  <c r="D252" i="1"/>
  <c r="I250" i="1"/>
  <c r="I248" i="1"/>
  <c r="I96" i="1"/>
  <c r="I271" i="1"/>
  <c r="I54" i="1"/>
  <c r="D3" i="1"/>
  <c r="D112" i="1"/>
  <c r="I108" i="1"/>
  <c r="D100" i="1"/>
  <c r="I38" i="1"/>
  <c r="D36" i="1"/>
  <c r="I267" i="1"/>
  <c r="I70" i="1"/>
  <c r="D7" i="1"/>
  <c r="I6" i="1"/>
  <c r="D350" i="1"/>
  <c r="I299" i="1"/>
  <c r="I138" i="1"/>
  <c r="D60" i="1"/>
  <c r="I58" i="1"/>
  <c r="D56" i="1"/>
  <c r="I261" i="1"/>
  <c r="I217" i="1"/>
  <c r="I66" i="1"/>
  <c r="D12" i="1"/>
  <c r="I330" i="1"/>
  <c r="D330" i="1"/>
  <c r="D269" i="1"/>
  <c r="D199" i="1"/>
  <c r="I197" i="1"/>
  <c r="D193" i="1"/>
  <c r="D141" i="1"/>
  <c r="I122" i="1"/>
  <c r="D120" i="1"/>
  <c r="I97" i="1"/>
  <c r="D96" i="1"/>
  <c r="D88" i="1"/>
  <c r="I348" i="1"/>
  <c r="I321" i="1"/>
  <c r="I295" i="1"/>
  <c r="I262" i="1"/>
  <c r="I243" i="1"/>
  <c r="I195" i="1"/>
  <c r="I139" i="1"/>
  <c r="I118" i="1"/>
  <c r="I100" i="1"/>
  <c r="I88" i="1"/>
  <c r="I67" i="1"/>
  <c r="D32" i="1"/>
  <c r="D30" i="1"/>
  <c r="D28" i="1"/>
  <c r="I26" i="1"/>
  <c r="I346" i="1"/>
  <c r="I331" i="1"/>
  <c r="I313" i="1"/>
  <c r="I287" i="1"/>
  <c r="D231" i="1"/>
  <c r="I229" i="1"/>
  <c r="I205" i="1"/>
  <c r="I187" i="1"/>
  <c r="D176" i="1"/>
  <c r="D158" i="1"/>
  <c r="I156" i="1"/>
  <c r="I128" i="1"/>
  <c r="D114" i="1"/>
  <c r="I112" i="1"/>
  <c r="I86" i="1"/>
  <c r="I68" i="1"/>
  <c r="I64" i="1"/>
  <c r="D24" i="1"/>
  <c r="I22" i="1"/>
  <c r="D338" i="1"/>
  <c r="I336" i="1"/>
  <c r="I305" i="1"/>
  <c r="I277" i="1"/>
  <c r="D230" i="1"/>
  <c r="I225" i="1"/>
  <c r="I201" i="1"/>
  <c r="I177" i="1"/>
  <c r="D128" i="1"/>
  <c r="I124" i="1"/>
  <c r="D107" i="1"/>
  <c r="D84" i="1"/>
  <c r="I82" i="1"/>
  <c r="D80" i="1"/>
  <c r="I60" i="1"/>
  <c r="I42" i="1"/>
  <c r="I16" i="1"/>
  <c r="I323" i="1"/>
  <c r="I322" i="1"/>
  <c r="D346" i="1"/>
  <c r="I344" i="1"/>
  <c r="D336" i="1"/>
  <c r="I334" i="1"/>
  <c r="D328" i="1"/>
  <c r="I326" i="1"/>
  <c r="I284" i="1"/>
  <c r="H283" i="1"/>
  <c r="D280" i="1"/>
  <c r="D265" i="1"/>
  <c r="I263" i="1"/>
  <c r="D261" i="1"/>
  <c r="D259" i="1"/>
  <c r="I257" i="1"/>
  <c r="D227" i="1"/>
  <c r="I188" i="1"/>
  <c r="I178" i="1"/>
  <c r="I174" i="1"/>
  <c r="D152" i="1"/>
  <c r="I150" i="1"/>
  <c r="D143" i="1"/>
  <c r="I141" i="1"/>
  <c r="H140" i="1"/>
  <c r="D132" i="1"/>
  <c r="D126" i="1"/>
  <c r="I120" i="1"/>
  <c r="I109" i="1"/>
  <c r="I98" i="1"/>
  <c r="I92" i="1"/>
  <c r="I89" i="1"/>
  <c r="I80" i="1"/>
  <c r="I75" i="1"/>
  <c r="H74" i="1"/>
  <c r="D62" i="1"/>
  <c r="D50" i="1"/>
  <c r="D48" i="1"/>
  <c r="I46" i="1"/>
  <c r="I36" i="1"/>
  <c r="D19" i="1"/>
  <c r="I17" i="1"/>
  <c r="I4" i="1"/>
  <c r="I350" i="1"/>
  <c r="D342" i="1"/>
  <c r="I340" i="1"/>
  <c r="D326" i="1"/>
  <c r="I319" i="1"/>
  <c r="I314" i="1"/>
  <c r="I306" i="1"/>
  <c r="I300" i="1"/>
  <c r="I296" i="1"/>
  <c r="I288" i="1"/>
  <c r="I281" i="1"/>
  <c r="I278" i="1"/>
  <c r="I272" i="1"/>
  <c r="D251" i="1"/>
  <c r="I215" i="1"/>
  <c r="D200" i="1"/>
  <c r="D183" i="1"/>
  <c r="I181" i="1"/>
  <c r="I175" i="1"/>
  <c r="D174" i="1"/>
  <c r="I172" i="1"/>
  <c r="I144" i="1"/>
  <c r="D140" i="1"/>
  <c r="I110" i="1"/>
  <c r="I106" i="1"/>
  <c r="D92" i="1"/>
  <c r="I90" i="1"/>
  <c r="D83" i="1"/>
  <c r="I76" i="1"/>
  <c r="I59" i="1"/>
  <c r="I44" i="1"/>
  <c r="D44" i="1"/>
  <c r="I32" i="1"/>
  <c r="D16" i="1"/>
  <c r="I12" i="1"/>
  <c r="D4" i="1"/>
  <c r="D345" i="1"/>
  <c r="I338" i="1"/>
  <c r="D329" i="1"/>
  <c r="D319" i="1"/>
  <c r="I317" i="1"/>
  <c r="I311" i="1"/>
  <c r="I303" i="1"/>
  <c r="I297" i="1"/>
  <c r="D293" i="1"/>
  <c r="I291" i="1"/>
  <c r="D285" i="1"/>
  <c r="I279" i="1"/>
  <c r="D277" i="1"/>
  <c r="I275" i="1"/>
  <c r="D237" i="1"/>
  <c r="I235" i="1"/>
  <c r="D228" i="1"/>
  <c r="I226" i="1"/>
  <c r="D226" i="1"/>
  <c r="D221" i="1"/>
  <c r="I209" i="1"/>
  <c r="D209" i="1"/>
  <c r="I202" i="1"/>
  <c r="D189" i="1"/>
  <c r="D181" i="1"/>
  <c r="D166" i="1"/>
  <c r="I164" i="1"/>
  <c r="D144" i="1"/>
  <c r="D142" i="1"/>
  <c r="I129" i="1"/>
  <c r="D129" i="1"/>
  <c r="D127" i="1"/>
  <c r="I125" i="1"/>
  <c r="D125" i="1"/>
  <c r="D106" i="1"/>
  <c r="I104" i="1"/>
  <c r="D76" i="1"/>
  <c r="D63" i="1"/>
  <c r="I61" i="1"/>
  <c r="D61" i="1"/>
  <c r="D18" i="1"/>
  <c r="D10" i="1"/>
  <c r="D8" i="1"/>
  <c r="H236" i="1"/>
  <c r="I236" i="1"/>
  <c r="H206" i="1"/>
  <c r="I206" i="1"/>
  <c r="D344" i="1"/>
  <c r="I342" i="1"/>
  <c r="I339" i="1"/>
  <c r="D339" i="1"/>
  <c r="D337" i="1"/>
  <c r="D335" i="1"/>
  <c r="D334" i="1"/>
  <c r="I328" i="1"/>
  <c r="D318" i="1"/>
  <c r="D311" i="1"/>
  <c r="D303" i="1"/>
  <c r="D301" i="1"/>
  <c r="D297" i="1"/>
  <c r="D279" i="1"/>
  <c r="D275" i="1"/>
  <c r="I273" i="1"/>
  <c r="I269" i="1"/>
  <c r="D263" i="1"/>
  <c r="D257" i="1"/>
  <c r="H256" i="1"/>
  <c r="I256" i="1"/>
  <c r="I255" i="1"/>
  <c r="I224" i="1"/>
  <c r="H223" i="1"/>
  <c r="D220" i="1"/>
  <c r="I218" i="1"/>
  <c r="I216" i="1"/>
  <c r="D205" i="1"/>
  <c r="H204" i="1"/>
  <c r="I204" i="1"/>
  <c r="I203" i="1"/>
  <c r="H200" i="1"/>
  <c r="I200" i="1"/>
  <c r="I199" i="1"/>
  <c r="H190" i="1"/>
  <c r="I190" i="1"/>
  <c r="I189" i="1"/>
  <c r="H258" i="1"/>
  <c r="I258" i="1"/>
  <c r="D343" i="1"/>
  <c r="D322" i="1"/>
  <c r="D310" i="1"/>
  <c r="D302" i="1"/>
  <c r="D290" i="1"/>
  <c r="H227" i="1"/>
  <c r="I227" i="1"/>
  <c r="I221" i="1"/>
  <c r="I211" i="1"/>
  <c r="I179" i="1"/>
  <c r="D331" i="1"/>
  <c r="D327" i="1"/>
  <c r="D314" i="1"/>
  <c r="D306" i="1"/>
  <c r="D281" i="1"/>
  <c r="D278" i="1"/>
  <c r="D262" i="1"/>
  <c r="D239" i="1"/>
  <c r="H238" i="1"/>
  <c r="I238" i="1"/>
  <c r="I237" i="1"/>
  <c r="D232" i="1"/>
  <c r="I230" i="1"/>
  <c r="H183" i="1"/>
  <c r="I183" i="1"/>
  <c r="D276" i="1"/>
  <c r="D274" i="1"/>
  <c r="D273" i="1"/>
  <c r="D264" i="1"/>
  <c r="D260" i="1"/>
  <c r="D258" i="1"/>
  <c r="D240" i="1"/>
  <c r="D238" i="1"/>
  <c r="D233" i="1"/>
  <c r="D229" i="1"/>
  <c r="D225" i="1"/>
  <c r="D219" i="1"/>
  <c r="D206" i="1"/>
  <c r="D201" i="1"/>
  <c r="D192" i="1"/>
  <c r="D190" i="1"/>
  <c r="D185" i="1"/>
  <c r="D170" i="1"/>
  <c r="I168" i="1"/>
  <c r="D154" i="1"/>
  <c r="I152" i="1"/>
  <c r="D147" i="1"/>
  <c r="I145" i="1"/>
  <c r="D145" i="1"/>
  <c r="D136" i="1"/>
  <c r="I134" i="1"/>
  <c r="I123" i="1"/>
  <c r="D116" i="1"/>
  <c r="I114" i="1"/>
  <c r="D108" i="1"/>
  <c r="D104" i="1"/>
  <c r="D95" i="1"/>
  <c r="I93" i="1"/>
  <c r="D93" i="1"/>
  <c r="I91" i="1"/>
  <c r="D82" i="1"/>
  <c r="D78" i="1"/>
  <c r="I65" i="1"/>
  <c r="D51" i="1"/>
  <c r="D49" i="1"/>
  <c r="D35" i="1"/>
  <c r="I33" i="1"/>
  <c r="D33" i="1"/>
  <c r="D31" i="1"/>
  <c r="D29" i="1"/>
  <c r="D15" i="1"/>
  <c r="I13" i="1"/>
  <c r="D13" i="1"/>
  <c r="D9" i="1"/>
  <c r="I5" i="1"/>
  <c r="D25" i="1"/>
  <c r="D17" i="1"/>
  <c r="D191" i="1"/>
  <c r="D184" i="1"/>
  <c r="D182" i="1"/>
  <c r="I176" i="1"/>
  <c r="D162" i="1"/>
  <c r="I160" i="1"/>
  <c r="D146" i="1"/>
  <c r="D133" i="1"/>
  <c r="I130" i="1"/>
  <c r="D124" i="1"/>
  <c r="D115" i="1"/>
  <c r="D113" i="1"/>
  <c r="I107" i="1"/>
  <c r="I101" i="1"/>
  <c r="D101" i="1"/>
  <c r="I99" i="1"/>
  <c r="D94" i="1"/>
  <c r="D87" i="1"/>
  <c r="D86" i="1"/>
  <c r="I84" i="1"/>
  <c r="I81" i="1"/>
  <c r="D81" i="1"/>
  <c r="D79" i="1"/>
  <c r="I77" i="1"/>
  <c r="D77" i="1"/>
  <c r="D72" i="1"/>
  <c r="I69" i="1"/>
  <c r="D68" i="1"/>
  <c r="D67" i="1"/>
  <c r="D66" i="1"/>
  <c r="D52" i="1"/>
  <c r="I50" i="1"/>
  <c r="I45" i="1"/>
  <c r="D45" i="1"/>
  <c r="I43" i="1"/>
  <c r="D34" i="1"/>
  <c r="I30" i="1"/>
  <c r="D14" i="1"/>
  <c r="I10" i="1"/>
  <c r="I315" i="1"/>
  <c r="H182" i="1"/>
  <c r="I182" i="1"/>
  <c r="H131" i="1"/>
  <c r="I131" i="1"/>
  <c r="H121" i="1"/>
  <c r="I121" i="1"/>
  <c r="H27" i="1"/>
  <c r="I27" i="1"/>
  <c r="D349" i="1"/>
  <c r="D324" i="1"/>
  <c r="D323" i="1"/>
  <c r="D321" i="1"/>
  <c r="D313" i="1"/>
  <c r="I308" i="1"/>
  <c r="H307" i="1"/>
  <c r="D305" i="1"/>
  <c r="I301" i="1"/>
  <c r="I290" i="1"/>
  <c r="H286" i="1"/>
  <c r="I286" i="1"/>
  <c r="H242" i="1"/>
  <c r="I242" i="1"/>
  <c r="I241" i="1"/>
  <c r="H220" i="1"/>
  <c r="I220" i="1"/>
  <c r="H214" i="1"/>
  <c r="I214" i="1"/>
  <c r="I213" i="1"/>
  <c r="H170" i="1"/>
  <c r="I170" i="1"/>
  <c r="I142" i="1"/>
  <c r="H116" i="1"/>
  <c r="I116" i="1"/>
  <c r="H52" i="1"/>
  <c r="I52" i="1"/>
  <c r="I24" i="1"/>
  <c r="I14" i="1"/>
  <c r="D341" i="1"/>
  <c r="D332" i="1"/>
  <c r="I327" i="1"/>
  <c r="I325" i="1"/>
  <c r="I318" i="1"/>
  <c r="I310" i="1"/>
  <c r="I302" i="1"/>
  <c r="D289" i="1"/>
  <c r="D253" i="1"/>
  <c r="H252" i="1"/>
  <c r="I252" i="1"/>
  <c r="I251" i="1"/>
  <c r="H246" i="1"/>
  <c r="I246" i="1"/>
  <c r="I245" i="1"/>
  <c r="D241" i="1"/>
  <c r="H240" i="1"/>
  <c r="I240" i="1"/>
  <c r="I239" i="1"/>
  <c r="H234" i="1"/>
  <c r="I234" i="1"/>
  <c r="I233" i="1"/>
  <c r="D213" i="1"/>
  <c r="H194" i="1"/>
  <c r="I194" i="1"/>
  <c r="I193" i="1"/>
  <c r="H173" i="1"/>
  <c r="I173" i="1"/>
  <c r="H166" i="1"/>
  <c r="I166" i="1"/>
  <c r="H157" i="1"/>
  <c r="I157" i="1"/>
  <c r="H133" i="1"/>
  <c r="I133" i="1"/>
  <c r="I132" i="1"/>
  <c r="H78" i="1"/>
  <c r="I78" i="1"/>
  <c r="H48" i="1"/>
  <c r="I48" i="1"/>
  <c r="H40" i="1"/>
  <c r="I40" i="1"/>
  <c r="H37" i="1"/>
  <c r="I37" i="1"/>
  <c r="H28" i="1"/>
  <c r="I28" i="1"/>
  <c r="I332" i="1"/>
  <c r="I289" i="1"/>
  <c r="H270" i="1"/>
  <c r="I270" i="1"/>
  <c r="H264" i="1"/>
  <c r="I264" i="1"/>
  <c r="H222" i="1"/>
  <c r="I222" i="1"/>
  <c r="H210" i="1"/>
  <c r="I210" i="1"/>
  <c r="H165" i="1"/>
  <c r="I165" i="1"/>
  <c r="H158" i="1"/>
  <c r="I158" i="1"/>
  <c r="H151" i="1"/>
  <c r="I151" i="1"/>
  <c r="H113" i="1"/>
  <c r="I113" i="1"/>
  <c r="H94" i="1"/>
  <c r="I94" i="1"/>
  <c r="H62" i="1"/>
  <c r="I62" i="1"/>
  <c r="D348" i="1"/>
  <c r="I316" i="1"/>
  <c r="I309" i="1"/>
  <c r="D287" i="1"/>
  <c r="I285" i="1"/>
  <c r="I259" i="1"/>
  <c r="H254" i="1"/>
  <c r="I254" i="1"/>
  <c r="I253" i="1"/>
  <c r="I219" i="1"/>
  <c r="H208" i="1"/>
  <c r="I208" i="1"/>
  <c r="I207" i="1"/>
  <c r="H185" i="1"/>
  <c r="I185" i="1"/>
  <c r="H161" i="1"/>
  <c r="I161" i="1"/>
  <c r="H34" i="1"/>
  <c r="I34" i="1"/>
  <c r="H25" i="1"/>
  <c r="I25" i="1"/>
  <c r="I343" i="1"/>
  <c r="D340" i="1"/>
  <c r="I335" i="1"/>
  <c r="D333" i="1"/>
  <c r="D315" i="1"/>
  <c r="D307" i="1"/>
  <c r="I292" i="1"/>
  <c r="I347" i="1"/>
  <c r="D347" i="1"/>
  <c r="I345" i="1"/>
  <c r="D325" i="1"/>
  <c r="I320" i="1"/>
  <c r="D317" i="1"/>
  <c r="I312" i="1"/>
  <c r="D309" i="1"/>
  <c r="I304" i="1"/>
  <c r="I298" i="1"/>
  <c r="D298" i="1"/>
  <c r="D295" i="1"/>
  <c r="H294" i="1"/>
  <c r="I294" i="1"/>
  <c r="I293" i="1"/>
  <c r="I282" i="1"/>
  <c r="D282" i="1"/>
  <c r="I280" i="1"/>
  <c r="I274" i="1"/>
  <c r="H266" i="1"/>
  <c r="I266" i="1"/>
  <c r="I265" i="1"/>
  <c r="H232" i="1"/>
  <c r="I232" i="1"/>
  <c r="I231" i="1"/>
  <c r="H198" i="1"/>
  <c r="I198" i="1"/>
  <c r="H192" i="1"/>
  <c r="I192" i="1"/>
  <c r="I191" i="1"/>
  <c r="H184" i="1"/>
  <c r="I184" i="1"/>
  <c r="D177" i="1"/>
  <c r="H169" i="1"/>
  <c r="I169" i="1"/>
  <c r="H162" i="1"/>
  <c r="I162" i="1"/>
  <c r="H148" i="1"/>
  <c r="I148" i="1"/>
  <c r="H146" i="1"/>
  <c r="I146" i="1"/>
  <c r="H136" i="1"/>
  <c r="I136" i="1"/>
  <c r="H126" i="1"/>
  <c r="I126" i="1"/>
  <c r="H115" i="1"/>
  <c r="I115" i="1"/>
  <c r="I102" i="1"/>
  <c r="H83" i="1"/>
  <c r="I83" i="1"/>
  <c r="H56" i="1"/>
  <c r="I56" i="1"/>
  <c r="H51" i="1"/>
  <c r="I51" i="1"/>
  <c r="H20" i="1"/>
  <c r="I20" i="1"/>
  <c r="H18" i="1"/>
  <c r="I18" i="1"/>
  <c r="H9" i="1"/>
  <c r="I9" i="1"/>
  <c r="I8" i="1"/>
  <c r="D299" i="1"/>
  <c r="D294" i="1"/>
  <c r="D291" i="1"/>
  <c r="D286" i="1"/>
  <c r="D283" i="1"/>
  <c r="D272" i="1"/>
  <c r="D271" i="1"/>
  <c r="D266" i="1"/>
  <c r="D254" i="1"/>
  <c r="D248" i="1"/>
  <c r="D247" i="1"/>
  <c r="D242" i="1"/>
  <c r="D236" i="1"/>
  <c r="D235" i="1"/>
  <c r="D224" i="1"/>
  <c r="D223" i="1"/>
  <c r="D214" i="1"/>
  <c r="D212" i="1"/>
  <c r="D211" i="1"/>
  <c r="D202" i="1"/>
  <c r="D178" i="1"/>
  <c r="D168" i="1"/>
  <c r="H167" i="1"/>
  <c r="I167" i="1"/>
  <c r="D160" i="1"/>
  <c r="H159" i="1"/>
  <c r="I159" i="1"/>
  <c r="H154" i="1"/>
  <c r="I154" i="1"/>
  <c r="D150" i="1"/>
  <c r="H149" i="1"/>
  <c r="I149" i="1"/>
  <c r="D121" i="1"/>
  <c r="D119" i="1"/>
  <c r="D118" i="1"/>
  <c r="H117" i="1"/>
  <c r="I117" i="1"/>
  <c r="D111" i="1"/>
  <c r="D110" i="1"/>
  <c r="D99" i="1"/>
  <c r="D98" i="1"/>
  <c r="D69" i="1"/>
  <c r="D64" i="1"/>
  <c r="H57" i="1"/>
  <c r="I57" i="1"/>
  <c r="H49" i="1"/>
  <c r="I49" i="1"/>
  <c r="H29" i="1"/>
  <c r="I29" i="1"/>
  <c r="D23" i="1"/>
  <c r="D22" i="1"/>
  <c r="H21" i="1"/>
  <c r="I21" i="1"/>
  <c r="D270" i="1"/>
  <c r="D268" i="1"/>
  <c r="D267" i="1"/>
  <c r="D256" i="1"/>
  <c r="D255" i="1"/>
  <c r="D246" i="1"/>
  <c r="D244" i="1"/>
  <c r="D243" i="1"/>
  <c r="D234" i="1"/>
  <c r="D222" i="1"/>
  <c r="D216" i="1"/>
  <c r="D215" i="1"/>
  <c r="D210" i="1"/>
  <c r="D204" i="1"/>
  <c r="D203" i="1"/>
  <c r="D197" i="1"/>
  <c r="D194" i="1"/>
  <c r="D188" i="1"/>
  <c r="D187" i="1"/>
  <c r="H186" i="1"/>
  <c r="I186" i="1"/>
  <c r="D180" i="1"/>
  <c r="D179" i="1"/>
  <c r="D172" i="1"/>
  <c r="H171" i="1"/>
  <c r="I171" i="1"/>
  <c r="D164" i="1"/>
  <c r="H163" i="1"/>
  <c r="I163" i="1"/>
  <c r="H153" i="1"/>
  <c r="I153" i="1"/>
  <c r="D139" i="1"/>
  <c r="D138" i="1"/>
  <c r="H137" i="1"/>
  <c r="I137" i="1"/>
  <c r="H105" i="1"/>
  <c r="I105" i="1"/>
  <c r="D97" i="1"/>
  <c r="D89" i="1"/>
  <c r="H85" i="1"/>
  <c r="I85" i="1"/>
  <c r="H72" i="1"/>
  <c r="I72" i="1"/>
  <c r="D43" i="1"/>
  <c r="D42" i="1"/>
  <c r="H41" i="1"/>
  <c r="I41" i="1"/>
  <c r="H35" i="1"/>
  <c r="I35" i="1"/>
  <c r="D6" i="1"/>
  <c r="D208" i="1"/>
  <c r="D207" i="1"/>
  <c r="D198" i="1"/>
  <c r="D196" i="1"/>
  <c r="D195" i="1"/>
  <c r="D186" i="1"/>
  <c r="D173" i="1"/>
  <c r="D169" i="1"/>
  <c r="D165" i="1"/>
  <c r="D161" i="1"/>
  <c r="D156" i="1"/>
  <c r="H155" i="1"/>
  <c r="I155" i="1"/>
  <c r="D148" i="1"/>
  <c r="H147" i="1"/>
  <c r="I147" i="1"/>
  <c r="D131" i="1"/>
  <c r="D130" i="1"/>
  <c r="D109" i="1"/>
  <c r="D75" i="1"/>
  <c r="D74" i="1"/>
  <c r="H73" i="1"/>
  <c r="I73" i="1"/>
  <c r="D65" i="1"/>
  <c r="D57" i="1"/>
  <c r="D55" i="1"/>
  <c r="D54" i="1"/>
  <c r="H53" i="1"/>
  <c r="I53" i="1"/>
  <c r="D47" i="1"/>
  <c r="D46" i="1"/>
  <c r="D40" i="1"/>
  <c r="D37" i="1"/>
  <c r="D20" i="1"/>
  <c r="H19" i="1"/>
  <c r="I19" i="1"/>
  <c r="D5" i="1"/>
  <c r="D157" i="1"/>
  <c r="D153" i="1"/>
  <c r="D149" i="1"/>
  <c r="D137" i="1"/>
  <c r="D135" i="1"/>
  <c r="D134" i="1"/>
  <c r="D123" i="1"/>
  <c r="D122" i="1"/>
  <c r="D117" i="1"/>
  <c r="D105" i="1"/>
  <c r="D103" i="1"/>
  <c r="D102" i="1"/>
  <c r="D91" i="1"/>
  <c r="D90" i="1"/>
  <c r="D85" i="1"/>
  <c r="D73" i="1"/>
  <c r="D71" i="1"/>
  <c r="D70" i="1"/>
  <c r="D59" i="1"/>
  <c r="D58" i="1"/>
  <c r="D53" i="1"/>
  <c r="D41" i="1"/>
  <c r="D39" i="1"/>
  <c r="D38" i="1"/>
  <c r="D27" i="1"/>
  <c r="D26" i="1"/>
  <c r="D21" i="1"/>
  <c r="D11" i="1"/>
  <c r="I341" i="1"/>
  <c r="I337" i="1"/>
  <c r="H7" i="1"/>
  <c r="I7" i="1"/>
  <c r="H349" i="1"/>
  <c r="H333" i="1"/>
  <c r="H329" i="1"/>
  <c r="I324" i="1"/>
  <c r="I276" i="1"/>
  <c r="I260" i="1"/>
  <c r="I244" i="1"/>
  <c r="I228" i="1"/>
  <c r="I212" i="1"/>
  <c r="I196" i="1"/>
  <c r="I180" i="1"/>
  <c r="H135" i="1"/>
  <c r="I135" i="1"/>
  <c r="H103" i="1"/>
  <c r="I103" i="1"/>
  <c r="H71" i="1"/>
  <c r="I71" i="1"/>
  <c r="H39" i="1"/>
  <c r="I39" i="1"/>
  <c r="I3" i="1"/>
  <c r="D320" i="1"/>
  <c r="D316" i="1"/>
  <c r="D312" i="1"/>
  <c r="D308" i="1"/>
  <c r="D304" i="1"/>
  <c r="D300" i="1"/>
  <c r="D296" i="1"/>
  <c r="D292" i="1"/>
  <c r="D288" i="1"/>
  <c r="D284" i="1"/>
  <c r="I268" i="1"/>
  <c r="H119" i="1"/>
  <c r="I119" i="1"/>
  <c r="H87" i="1"/>
  <c r="I87" i="1"/>
  <c r="H55" i="1"/>
  <c r="I55" i="1"/>
  <c r="H23" i="1"/>
  <c r="I23" i="1"/>
  <c r="D171" i="1"/>
  <c r="D167" i="1"/>
  <c r="D163" i="1"/>
  <c r="D159" i="1"/>
  <c r="D155" i="1"/>
  <c r="D151" i="1"/>
  <c r="I11" i="1"/>
  <c r="D175" i="1"/>
  <c r="I143" i="1"/>
  <c r="I127" i="1"/>
  <c r="I111" i="1"/>
  <c r="I95" i="1"/>
  <c r="I79" i="1"/>
  <c r="I63" i="1"/>
  <c r="I47" i="1"/>
  <c r="I31" i="1"/>
  <c r="I15" i="1"/>
  <c r="I2" i="1"/>
  <c r="D2" i="1"/>
</calcChain>
</file>

<file path=xl/sharedStrings.xml><?xml version="1.0" encoding="utf-8"?>
<sst xmlns="http://schemas.openxmlformats.org/spreadsheetml/2006/main" count="4232" uniqueCount="861">
  <si>
    <t>first_name</t>
  </si>
  <si>
    <t>last_name</t>
  </si>
  <si>
    <t>full_name</t>
  </si>
  <si>
    <t>age</t>
  </si>
  <si>
    <t>gender</t>
  </si>
  <si>
    <t>city</t>
  </si>
  <si>
    <t>birthdate</t>
  </si>
  <si>
    <t>age_group</t>
  </si>
  <si>
    <t>patient_id</t>
  </si>
  <si>
    <t>P001</t>
  </si>
  <si>
    <t>William</t>
  </si>
  <si>
    <t>Taylor</t>
  </si>
  <si>
    <t>William Taylor</t>
  </si>
  <si>
    <t>Female</t>
  </si>
  <si>
    <t>Daejon</t>
  </si>
  <si>
    <t>Senior</t>
  </si>
  <si>
    <t>P002</t>
  </si>
  <si>
    <t>Daniel</t>
  </si>
  <si>
    <t>Daniel Taylor</t>
  </si>
  <si>
    <t>Male</t>
  </si>
  <si>
    <t>Seoul</t>
  </si>
  <si>
    <t>Young Adult</t>
  </si>
  <si>
    <t>P003</t>
  </si>
  <si>
    <t>David</t>
  </si>
  <si>
    <t>Moore</t>
  </si>
  <si>
    <t>David Moore</t>
  </si>
  <si>
    <t>P004</t>
  </si>
  <si>
    <t>Olivia</t>
  </si>
  <si>
    <t>Anderson</t>
  </si>
  <si>
    <t>Olivia Anderson</t>
  </si>
  <si>
    <t>Adult</t>
  </si>
  <si>
    <t>P005</t>
  </si>
  <si>
    <t>Olivia Moore</t>
  </si>
  <si>
    <t>P006</t>
  </si>
  <si>
    <t>Brown</t>
  </si>
  <si>
    <t>Olivia Brown</t>
  </si>
  <si>
    <t>Busan</t>
  </si>
  <si>
    <t>P007</t>
  </si>
  <si>
    <t>Emily</t>
  </si>
  <si>
    <t>Emily Moore</t>
  </si>
  <si>
    <t>P008</t>
  </si>
  <si>
    <t>Maria</t>
  </si>
  <si>
    <t>Maria Taylor</t>
  </si>
  <si>
    <t>P009</t>
  </si>
  <si>
    <t>James</t>
  </si>
  <si>
    <t>Johnson</t>
  </si>
  <si>
    <t>James Johnson</t>
  </si>
  <si>
    <t>Daegu</t>
  </si>
  <si>
    <t>P010</t>
  </si>
  <si>
    <t>Emily Brown</t>
  </si>
  <si>
    <t>P011</t>
  </si>
  <si>
    <t>Davis</t>
  </si>
  <si>
    <t>Emily Davis</t>
  </si>
  <si>
    <t>P012</t>
  </si>
  <si>
    <t>Sarah</t>
  </si>
  <si>
    <t>Sarah Brown</t>
  </si>
  <si>
    <t>P013</t>
  </si>
  <si>
    <t>Maria Davis</t>
  </si>
  <si>
    <t>P014</t>
  </si>
  <si>
    <t>David Anderson</t>
  </si>
  <si>
    <t>Incheon</t>
  </si>
  <si>
    <t>P015</t>
  </si>
  <si>
    <t>Wilson</t>
  </si>
  <si>
    <t>Daniel Wilson</t>
  </si>
  <si>
    <t>P016</t>
  </si>
  <si>
    <t>Olivia Wilson</t>
  </si>
  <si>
    <t>P017</t>
  </si>
  <si>
    <t>Smith</t>
  </si>
  <si>
    <t>William Smith</t>
  </si>
  <si>
    <t>P018</t>
  </si>
  <si>
    <t>Garcia</t>
  </si>
  <si>
    <t>Sarah Garcia</t>
  </si>
  <si>
    <t>P019</t>
  </si>
  <si>
    <t>Michael</t>
  </si>
  <si>
    <t>Michael Brown</t>
  </si>
  <si>
    <t>P020</t>
  </si>
  <si>
    <t>Martinez</t>
  </si>
  <si>
    <t>James Martinez</t>
  </si>
  <si>
    <t>P021</t>
  </si>
  <si>
    <t>Olivia Taylor</t>
  </si>
  <si>
    <t>P022</t>
  </si>
  <si>
    <t>Olivia Garcia</t>
  </si>
  <si>
    <t>P023</t>
  </si>
  <si>
    <t>Maria Smith</t>
  </si>
  <si>
    <t>P024</t>
  </si>
  <si>
    <t>Sophia</t>
  </si>
  <si>
    <t>Sophia Taylor</t>
  </si>
  <si>
    <t>P025</t>
  </si>
  <si>
    <t>P026</t>
  </si>
  <si>
    <t>P027</t>
  </si>
  <si>
    <t>Emily Smith</t>
  </si>
  <si>
    <t>P028</t>
  </si>
  <si>
    <t>Sarah Johnson</t>
  </si>
  <si>
    <t>P029</t>
  </si>
  <si>
    <t>Michael Taylor</t>
  </si>
  <si>
    <t>P030</t>
  </si>
  <si>
    <t>P031</t>
  </si>
  <si>
    <t>James Moore</t>
  </si>
  <si>
    <t>P032</t>
  </si>
  <si>
    <t>Sophia Johnson</t>
  </si>
  <si>
    <t>P033</t>
  </si>
  <si>
    <t>James Garcia</t>
  </si>
  <si>
    <t>P034</t>
  </si>
  <si>
    <t>P035</t>
  </si>
  <si>
    <t>Sarah Davis</t>
  </si>
  <si>
    <t>P036</t>
  </si>
  <si>
    <t>Sophia Brown</t>
  </si>
  <si>
    <t>P037</t>
  </si>
  <si>
    <t>Sophia Moore</t>
  </si>
  <si>
    <t>P038</t>
  </si>
  <si>
    <t>Daniel Garcia</t>
  </si>
  <si>
    <t>P039</t>
  </si>
  <si>
    <t>William Brown</t>
  </si>
  <si>
    <t>P040</t>
  </si>
  <si>
    <t>Maria Brown</t>
  </si>
  <si>
    <t>P041</t>
  </si>
  <si>
    <t>James Smith</t>
  </si>
  <si>
    <t>P042</t>
  </si>
  <si>
    <t>Emily Martinez</t>
  </si>
  <si>
    <t>P043</t>
  </si>
  <si>
    <t>Emily Taylor</t>
  </si>
  <si>
    <t>P044</t>
  </si>
  <si>
    <t>David Garcia</t>
  </si>
  <si>
    <t>P045</t>
  </si>
  <si>
    <t>David Taylor</t>
  </si>
  <si>
    <t>P046</t>
  </si>
  <si>
    <t>William Johnson</t>
  </si>
  <si>
    <t>P047</t>
  </si>
  <si>
    <t>P048</t>
  </si>
  <si>
    <t>P049</t>
  </si>
  <si>
    <t>James Wilson</t>
  </si>
  <si>
    <t>P050</t>
  </si>
  <si>
    <t>P051</t>
  </si>
  <si>
    <t>James Davis</t>
  </si>
  <si>
    <t>P052</t>
  </si>
  <si>
    <t>Michael Wilson</t>
  </si>
  <si>
    <t>P053</t>
  </si>
  <si>
    <t>Sophia Anderson</t>
  </si>
  <si>
    <t>P054</t>
  </si>
  <si>
    <t>Emily Wilson</t>
  </si>
  <si>
    <t>P055</t>
  </si>
  <si>
    <t>P056</t>
  </si>
  <si>
    <t>Michael Garcia</t>
  </si>
  <si>
    <t>P057</t>
  </si>
  <si>
    <t>P058</t>
  </si>
  <si>
    <t>P059</t>
  </si>
  <si>
    <t>P060</t>
  </si>
  <si>
    <t>P061</t>
  </si>
  <si>
    <t>William Davis</t>
  </si>
  <si>
    <t>P062</t>
  </si>
  <si>
    <t>Sophia Garcia</t>
  </si>
  <si>
    <t>P063</t>
  </si>
  <si>
    <t>Maria Johnson</t>
  </si>
  <si>
    <t>P064</t>
  </si>
  <si>
    <t>P065</t>
  </si>
  <si>
    <t>James Anderson</t>
  </si>
  <si>
    <t>P066</t>
  </si>
  <si>
    <t>P067</t>
  </si>
  <si>
    <t>Maria Wilson</t>
  </si>
  <si>
    <t>P068</t>
  </si>
  <si>
    <t>P069</t>
  </si>
  <si>
    <t>P070</t>
  </si>
  <si>
    <t>P071</t>
  </si>
  <si>
    <t>Sophia Davis</t>
  </si>
  <si>
    <t>P072</t>
  </si>
  <si>
    <t>David Brown</t>
  </si>
  <si>
    <t>P073</t>
  </si>
  <si>
    <t>Daniel Anderson</t>
  </si>
  <si>
    <t>P074</t>
  </si>
  <si>
    <t>Maria Garcia</t>
  </si>
  <si>
    <t>P075</t>
  </si>
  <si>
    <t>P076</t>
  </si>
  <si>
    <t>Emily Johnson</t>
  </si>
  <si>
    <t>P077</t>
  </si>
  <si>
    <t>Olivia Martinez</t>
  </si>
  <si>
    <t>P078</t>
  </si>
  <si>
    <t>Sarah Moore</t>
  </si>
  <si>
    <t>P079</t>
  </si>
  <si>
    <t>Sarah Taylor</t>
  </si>
  <si>
    <t>P080</t>
  </si>
  <si>
    <t>P081</t>
  </si>
  <si>
    <t>P082</t>
  </si>
  <si>
    <t>Emily Anderson</t>
  </si>
  <si>
    <t>P083</t>
  </si>
  <si>
    <t>Sophia Wilson</t>
  </si>
  <si>
    <t>P084</t>
  </si>
  <si>
    <t>P085</t>
  </si>
  <si>
    <t>David Davis</t>
  </si>
  <si>
    <t>P086</t>
  </si>
  <si>
    <t>Michael Anderson</t>
  </si>
  <si>
    <t>P087</t>
  </si>
  <si>
    <t>P088</t>
  </si>
  <si>
    <t>Daniel Johnson</t>
  </si>
  <si>
    <t>P089</t>
  </si>
  <si>
    <t>William Anderson</t>
  </si>
  <si>
    <t>P090</t>
  </si>
  <si>
    <t>P091</t>
  </si>
  <si>
    <t>Sophia Martinez</t>
  </si>
  <si>
    <t>P092</t>
  </si>
  <si>
    <t>P093</t>
  </si>
  <si>
    <t>P094</t>
  </si>
  <si>
    <t>P095</t>
  </si>
  <si>
    <t>Michael Johnson</t>
  </si>
  <si>
    <t>P096</t>
  </si>
  <si>
    <t>P097</t>
  </si>
  <si>
    <t>P098</t>
  </si>
  <si>
    <t>David Johnson</t>
  </si>
  <si>
    <t>P099</t>
  </si>
  <si>
    <t>William Garcia</t>
  </si>
  <si>
    <t>P100</t>
  </si>
  <si>
    <t>P101</t>
  </si>
  <si>
    <t>Olivia Smith</t>
  </si>
  <si>
    <t>P102</t>
  </si>
  <si>
    <t>Maria Moore</t>
  </si>
  <si>
    <t>P103</t>
  </si>
  <si>
    <t>P104</t>
  </si>
  <si>
    <t>P105</t>
  </si>
  <si>
    <t>P106</t>
  </si>
  <si>
    <t>P107</t>
  </si>
  <si>
    <t>P108</t>
  </si>
  <si>
    <t>P109</t>
  </si>
  <si>
    <t>Michael Davis</t>
  </si>
  <si>
    <t>P110</t>
  </si>
  <si>
    <t>P111</t>
  </si>
  <si>
    <t>Maria Anderson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</si>
  <si>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</si>
  <si>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</si>
  <si>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</si>
  <si>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</si>
  <si>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</si>
  <si>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</si>
  <si>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</si>
  <si>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</si>
  <si>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</si>
  <si>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</si>
  <si>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</si>
  <si>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Daniel Davis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</si>
  <si>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</si>
  <si>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</si>
  <si>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</si>
  <si>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</si>
  <si>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</si>
  <si>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</si>
  <si>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</si>
  <si>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</si>
  <si>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</si>
  <si>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James Taylor</t>
  </si>
  <si>
    <t>P132</t>
  </si>
  <si>
    <t>P133</t>
  </si>
  <si>
    <t>P134</t>
  </si>
  <si>
    <t>P135</t>
  </si>
  <si>
    <t>P136</t>
  </si>
  <si>
    <t>P137</t>
  </si>
  <si>
    <t>P138</t>
  </si>
  <si>
    <t>P139</t>
  </si>
  <si>
    <t>Daniel Brown</t>
  </si>
  <si>
    <t>P140</t>
  </si>
  <si>
    <t>P141</t>
  </si>
  <si>
    <t>P142</t>
  </si>
  <si>
    <t>P143</t>
  </si>
  <si>
    <t>P144</t>
  </si>
  <si>
    <t>P145</t>
  </si>
  <si>
    <t>Daniel Moore</t>
  </si>
  <si>
    <t>P146</t>
  </si>
  <si>
    <t>P147</t>
  </si>
  <si>
    <t>Daniel Martinez</t>
  </si>
  <si>
    <t>P148</t>
  </si>
  <si>
    <t>Michael Martinez</t>
  </si>
  <si>
    <t>P149</t>
  </si>
  <si>
    <t>P150</t>
  </si>
  <si>
    <t>P151</t>
  </si>
  <si>
    <t>P152</t>
  </si>
  <si>
    <t>P153</t>
  </si>
  <si>
    <t>David Wilson</t>
  </si>
  <si>
    <t>P154</t>
  </si>
  <si>
    <t>P155</t>
  </si>
  <si>
    <t>Maria Martinez</t>
  </si>
  <si>
    <t>P156</t>
  </si>
  <si>
    <t>P157</t>
  </si>
  <si>
    <t>P158</t>
  </si>
  <si>
    <t>P159</t>
  </si>
  <si>
    <t>P160</t>
  </si>
  <si>
    <t>William Moore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</si>
  <si>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</si>
  <si>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</si>
  <si>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</si>
  <si>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</si>
  <si>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</si>
  <si>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</si>
  <si>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</si>
  <si>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</si>
  <si>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</si>
  <si>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</si>
  <si>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</si>
  <si>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</si>
  <si>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</si>
  <si>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</si>
  <si>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</si>
  <si>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</si>
  <si>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</si>
  <si>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Olivia Davis</t>
  </si>
  <si>
    <t>P178</t>
  </si>
  <si>
    <t>P179</t>
  </si>
  <si>
    <t>P180</t>
  </si>
  <si>
    <t>P181</t>
  </si>
  <si>
    <t>Sarah Smith</t>
  </si>
  <si>
    <t>P182</t>
  </si>
  <si>
    <t>P183</t>
  </si>
  <si>
    <t>P184</t>
  </si>
  <si>
    <t>P185</t>
  </si>
  <si>
    <t>P186</t>
  </si>
  <si>
    <t>Michael Moore</t>
  </si>
  <si>
    <t>P187</t>
  </si>
  <si>
    <t>William Wilson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</si>
  <si>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</si>
  <si>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</si>
  <si>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</si>
  <si>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</si>
  <si>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</si>
  <si>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</si>
  <si>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</si>
  <si>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</si>
  <si>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</si>
  <si>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</si>
  <si>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</si>
  <si>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Sarah Martinez</t>
  </si>
  <si>
    <t>P199</t>
  </si>
  <si>
    <t>P200</t>
  </si>
  <si>
    <t>P201</t>
  </si>
  <si>
    <t>Sarah Wilson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</si>
  <si>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</si>
  <si>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</si>
  <si>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</si>
  <si>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</si>
  <si>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</si>
  <si>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</si>
  <si>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</si>
  <si>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</si>
  <si>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</si>
  <si>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Michael Smith</t>
  </si>
  <si>
    <t>P211</t>
  </si>
  <si>
    <t>David Smith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</si>
  <si>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</si>
  <si>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</si>
  <si>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</si>
  <si>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</si>
  <si>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</si>
  <si>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</si>
  <si>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</si>
  <si>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</si>
  <si>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</si>
  <si>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</si>
  <si>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</si>
  <si>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</si>
  <si>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</si>
  <si>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</si>
  <si>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</si>
  <si>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</si>
  <si>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</si>
  <si>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</si>
  <si>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</si>
  <si>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</si>
  <si>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</si>
  <si>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</si>
  <si>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</si>
  <si>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</si>
  <si>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</si>
  <si>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</si>
  <si>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</si>
  <si>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</si>
  <si>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</si>
  <si>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</si>
  <si>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</si>
  <si>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</si>
  <si>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</si>
  <si>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</si>
  <si>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</si>
  <si>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</si>
  <si>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</si>
  <si>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</si>
  <si>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</si>
  <si>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</si>
  <si>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</si>
  <si>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</si>
  <si>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</si>
  <si>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</si>
  <si>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</si>
  <si>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</si>
  <si>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</si>
  <si>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</si>
  <si>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</si>
  <si>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</si>
  <si>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</si>
  <si>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</si>
  <si>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</si>
  <si>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</si>
  <si>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</si>
  <si>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</si>
  <si>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</si>
  <si>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Emily Garcia</t>
  </si>
  <si>
    <t>P269</t>
  </si>
  <si>
    <t>P270</t>
  </si>
  <si>
    <t>P271</t>
  </si>
  <si>
    <t>Daniel Smith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</si>
  <si>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</si>
  <si>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</si>
  <si>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</si>
  <si>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</si>
  <si>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</si>
  <si>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</si>
  <si>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</si>
  <si>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</si>
  <si>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</si>
  <si>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</si>
  <si>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</si>
  <si>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</si>
  <si>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Sarah Anderson</t>
  </si>
  <si>
    <t>P284</t>
  </si>
  <si>
    <t>P285</t>
  </si>
  <si>
    <t>P286</t>
  </si>
  <si>
    <t>P287</t>
  </si>
  <si>
    <t>David Martinez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</si>
  <si>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</si>
  <si>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</si>
  <si>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</si>
  <si>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</si>
  <si>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</si>
  <si>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</si>
  <si>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</si>
  <si>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</si>
  <si>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</si>
  <si>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</si>
  <si>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</si>
  <si>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</si>
  <si>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</si>
  <si>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</si>
  <si>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</si>
  <si>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</si>
  <si>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</si>
  <si>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</si>
  <si>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</si>
  <si>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</si>
  <si>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</si>
  <si>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</si>
  <si>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</si>
  <si>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</si>
  <si>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</si>
  <si>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</si>
  <si>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</si>
  <si>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</si>
  <si>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</si>
  <si>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</si>
  <si>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</si>
  <si>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</si>
  <si>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</si>
  <si>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</si>
  <si>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</si>
  <si>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</si>
  <si>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</si>
  <si>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</si>
  <si>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</si>
  <si>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</si>
  <si>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</si>
  <si>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</si>
  <si>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</si>
  <si>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</si>
  <si>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</si>
  <si>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</si>
  <si>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</si>
  <si>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</si>
  <si>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</si>
  <si>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</si>
  <si>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</si>
  <si>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</si>
  <si>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</si>
  <si>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</si>
  <si>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</si>
  <si>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</si>
  <si>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</si>
  <si>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</si>
  <si>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</si>
  <si>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</si>
  <si>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</si>
  <si>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</si>
  <si>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appointment_id</t>
  </si>
  <si>
    <t>doctor</t>
  </si>
  <si>
    <t>department</t>
  </si>
  <si>
    <t>appointment_date</t>
  </si>
  <si>
    <t>status</t>
  </si>
  <si>
    <t>fee</t>
  </si>
  <si>
    <t>A001</t>
  </si>
  <si>
    <t>Dr. Emily Watson</t>
  </si>
  <si>
    <t>Pharmacy</t>
  </si>
  <si>
    <t>Completed</t>
  </si>
  <si>
    <t>A002</t>
  </si>
  <si>
    <t>Dr. Sarah Kim</t>
  </si>
  <si>
    <t>A003</t>
  </si>
  <si>
    <t>Dr. Michael Lee</t>
  </si>
  <si>
    <t>Cardiology</t>
  </si>
  <si>
    <t>A004</t>
  </si>
  <si>
    <t>Dr. David Park</t>
  </si>
  <si>
    <t>Dermatology</t>
  </si>
  <si>
    <t>No-Show</t>
  </si>
  <si>
    <t>A005</t>
  </si>
  <si>
    <t>Dr. James Carter</t>
  </si>
  <si>
    <t>A006</t>
  </si>
  <si>
    <t>Cancelled</t>
  </si>
  <si>
    <t>A007</t>
  </si>
  <si>
    <t>Emergency Medicine</t>
  </si>
  <si>
    <t>A008</t>
  </si>
  <si>
    <t>A009</t>
  </si>
  <si>
    <t>A010</t>
  </si>
  <si>
    <t>Physical Medicine and Rehabilitation</t>
  </si>
  <si>
    <t>A011</t>
  </si>
  <si>
    <t>A012</t>
  </si>
  <si>
    <t>Oncology</t>
  </si>
  <si>
    <t>A013</t>
  </si>
  <si>
    <t>A014</t>
  </si>
  <si>
    <t>General Medicine</t>
  </si>
  <si>
    <t>A015</t>
  </si>
  <si>
    <t>A016</t>
  </si>
  <si>
    <t>Neurology</t>
  </si>
  <si>
    <t>A017</t>
  </si>
  <si>
    <t>Psychiatry and Mental Health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</si>
  <si>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</si>
  <si>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</si>
  <si>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</si>
  <si>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</si>
  <si>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</si>
  <si>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</si>
  <si>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</si>
  <si>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</si>
  <si>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</si>
  <si>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</si>
  <si>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</si>
  <si>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</si>
  <si>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</si>
  <si>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</si>
  <si>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</si>
  <si>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</si>
  <si>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</si>
  <si>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</si>
  <si>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</si>
  <si>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</si>
  <si>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</si>
  <si>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</si>
  <si>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</si>
  <si>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</si>
  <si>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</si>
  <si>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</si>
  <si>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</si>
  <si>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</si>
  <si>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</si>
  <si>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</si>
  <si>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</si>
  <si>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</si>
  <si>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</si>
  <si>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</si>
  <si>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</si>
  <si>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</si>
  <si>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</si>
  <si>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</si>
  <si>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</si>
  <si>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</si>
  <si>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</si>
  <si>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</si>
  <si>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</si>
  <si>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</si>
  <si>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</si>
  <si>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</si>
  <si>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</si>
  <si>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</si>
  <si>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</si>
  <si>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</si>
  <si>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</si>
  <si>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</si>
  <si>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</si>
  <si>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</si>
  <si>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</si>
  <si>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</si>
  <si>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</si>
  <si>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</si>
  <si>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</si>
  <si>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</si>
  <si>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</si>
  <si>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Orthopedics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</si>
  <si>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</si>
  <si>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</si>
  <si>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</si>
  <si>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</si>
  <si>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</si>
  <si>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</si>
  <si>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</si>
  <si>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</si>
  <si>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</si>
  <si>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</si>
  <si>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</si>
  <si>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</si>
  <si>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</si>
  <si>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</si>
  <si>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</si>
  <si>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</si>
  <si>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</si>
  <si>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</si>
  <si>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</si>
  <si>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</si>
  <si>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</si>
  <si>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</si>
  <si>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</si>
  <si>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</si>
  <si>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</si>
  <si>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</si>
  <si>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</si>
  <si>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</si>
  <si>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</si>
  <si>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</si>
  <si>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</si>
  <si>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</si>
  <si>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</si>
  <si>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</si>
  <si>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</si>
  <si>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</si>
  <si>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</si>
  <si>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</si>
  <si>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</si>
  <si>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</si>
  <si>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</si>
  <si>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</si>
  <si>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</si>
  <si>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</si>
  <si>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</si>
  <si>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</si>
  <si>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</si>
  <si>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</si>
  <si>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</si>
  <si>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</si>
  <si>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</si>
  <si>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</si>
  <si>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</si>
  <si>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</si>
  <si>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</si>
  <si>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</si>
  <si>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</si>
  <si>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</si>
  <si>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</si>
  <si>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</si>
  <si>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</si>
  <si>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</si>
  <si>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</si>
  <si>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</si>
  <si>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</si>
  <si>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</si>
  <si>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</si>
  <si>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</si>
  <si>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</si>
  <si>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</si>
  <si>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</si>
  <si>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</si>
  <si>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</si>
  <si>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</si>
  <si>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</si>
  <si>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</si>
  <si>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</si>
  <si>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</si>
  <si>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</si>
  <si>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</si>
  <si>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</si>
  <si>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</si>
  <si>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</si>
  <si>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</si>
  <si>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</si>
  <si>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</si>
  <si>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</si>
  <si>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</si>
  <si>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</si>
  <si>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</si>
  <si>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</si>
  <si>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</si>
  <si>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</si>
  <si>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</si>
  <si>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</si>
  <si>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</si>
  <si>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</si>
  <si>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</si>
  <si>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</si>
  <si>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</si>
  <si>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</si>
  <si>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</si>
  <si>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</si>
  <si>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</si>
  <si>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</si>
  <si>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</si>
  <si>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</si>
  <si>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</si>
  <si>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</si>
  <si>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</si>
  <si>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</si>
  <si>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</si>
  <si>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</si>
  <si>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</si>
  <si>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</si>
  <si>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</si>
  <si>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</si>
  <si>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</si>
  <si>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</si>
  <si>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</si>
  <si>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</si>
  <si>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</si>
  <si>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</si>
  <si>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</si>
  <si>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</si>
  <si>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</si>
  <si>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</si>
  <si>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</si>
  <si>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</si>
  <si>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</si>
  <si>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</si>
  <si>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</si>
  <si>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</si>
  <si>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</si>
  <si>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</si>
  <si>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</si>
  <si>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</si>
  <si>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</si>
  <si>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</si>
  <si>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</si>
  <si>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</si>
  <si>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</si>
  <si>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</si>
  <si>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</si>
  <si>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</si>
  <si>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</si>
  <si>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</si>
  <si>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</si>
  <si>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</si>
  <si>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</si>
  <si>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</si>
  <si>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</si>
  <si>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</si>
  <si>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</si>
  <si>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</si>
  <si>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</si>
  <si>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</si>
  <si>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</si>
  <si>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</si>
  <si>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</si>
  <si>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</si>
  <si>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</si>
  <si>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</si>
  <si>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</si>
  <si>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</si>
  <si>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</si>
  <si>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</si>
  <si>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</si>
  <si>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</si>
  <si>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</si>
  <si>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</si>
  <si>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</si>
  <si>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</si>
  <si>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</si>
  <si>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</si>
  <si>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</si>
  <si>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</si>
  <si>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</si>
  <si>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</si>
  <si>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</si>
  <si>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</si>
  <si>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</si>
  <si>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</si>
  <si>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</si>
  <si>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</si>
  <si>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</si>
  <si>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</si>
  <si>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</si>
  <si>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</si>
  <si>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</si>
  <si>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</si>
  <si>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</si>
  <si>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</si>
  <si>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</si>
  <si>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</si>
  <si>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</si>
  <si>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</si>
  <si>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</si>
  <si>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</si>
  <si>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</si>
  <si>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</si>
  <si>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</si>
  <si>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</si>
  <si>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</si>
  <si>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</si>
  <si>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</si>
  <si>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</si>
  <si>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</si>
  <si>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</si>
  <si>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</si>
  <si>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</si>
  <si>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</si>
  <si>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</si>
  <si>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</si>
  <si>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</si>
  <si>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</si>
  <si>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</si>
  <si>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</si>
  <si>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</si>
  <si>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</si>
  <si>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</si>
  <si>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</si>
  <si>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</si>
  <si>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</si>
  <si>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</si>
  <si>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</si>
  <si>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</si>
  <si>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</si>
  <si>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</si>
  <si>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</si>
  <si>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</si>
  <si>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</si>
  <si>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</si>
  <si>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</si>
  <si>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</si>
  <si>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</si>
  <si>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</si>
  <si>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</si>
  <si>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</si>
  <si>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</si>
  <si>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</si>
  <si>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</si>
  <si>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</si>
  <si>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</si>
  <si>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</si>
  <si>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</si>
  <si>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</si>
  <si>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</si>
  <si>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</si>
  <si>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</si>
  <si>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</si>
  <si>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</si>
  <si>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</si>
  <si>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</si>
  <si>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</si>
  <si>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</si>
  <si>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</si>
  <si>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</si>
  <si>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</si>
  <si>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</si>
  <si>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</si>
  <si>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</si>
  <si>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</si>
  <si>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</si>
  <si>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</si>
  <si>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</si>
  <si>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</si>
  <si>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</si>
  <si>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</si>
  <si>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</si>
  <si>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</si>
  <si>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Sophia Smith</t>
  </si>
  <si>
    <t>William Martinez</t>
  </si>
  <si>
    <t>P350</t>
  </si>
  <si>
    <t>A350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</si>
</sst>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630A-BE0D-402D-9C9A-6EE4F935E2FE}">
  <dimension ref="A1:I351"/>
  <sheetViews>
    <sheetView topLeftCell="A340" workbookViewId="0">
      <selection activeCell="I351" sqref="A1:I35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0.140625" bestFit="1" customWidth="1"/>
    <col min="4" max="4" width="11.5703125" bestFit="1" customWidth="1"/>
    <col min="5" max="5" width="4.140625" bestFit="1" customWidth="1"/>
    <col min="6" max="6" width="7.5703125" bestFit="1" customWidth="1"/>
    <col min="7" max="7" width="6.5703125" bestFit="1" customWidth="1"/>
    <col min="8" max="8" width="10.7109375" bestFit="1" customWidth="1"/>
    <col min="9" max="9" width="11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tr">
        <f>"P"&amp;TEXT(ROW(A1),"000")</f>
        <v>P001</v>
      </c>
      <c r="B2" t="str">
        <f ca="1">CHOOSE(RANDBETWEEN(1,10),"James","Maria","David","Sarah","Michael","Emily","Daniel","Olivia","William","Sophia")</f>
        <v>Maria</v>
      </c>
      <c r="C2" t="str">
        <f ca="1">CHOOSE(RANDBETWEEN(1,10),"Anderson","Garcia","Martinez","Johnson","Smith","Davis","Wilson","Brown","Taylor","Moore")</f>
        <v>Anderson</v>
      </c>
      <c r="D2" t="str">
        <f ca="1">B2&amp;" "&amp;C2</f>
        <v>Maria Anderson</v>
      </c>
      <c r="E2">
        <f ca="1">RANDBETWEEN(20,70)</f>
        <v>25</v>
      </c>
      <c r="F2" t="str">
        <f ca="1">IF(RANDBETWEEN(0,1)=0, "Male","Female")</f>
        <v>Female</v>
      </c>
      <c r="G2" t="str">
        <f ca="1">CHOOSE(RANDBETWEEN(1,5),"Seoul","Busan","Incheon","Daegu","Daejon")</f>
        <v>Seoul</v>
      </c>
      <c r="H2" s="1">
        <f ca="1">DATE(2026 - E2,RANDBETWEEN(1,12),RANDBETWEEN(1,28))</f>
        <v>37143</v>
      </c>
      <c r="I2" t="str">
        <f ca="1">IF(E2&lt;30,"Young Adult",IF(E2&lt;50,"Adult","Senior"))</f>
        <v>Young Adult</v>
      </c>
    </row>
    <row r="3" spans="1:9" x14ac:dyDescent="0.25">
      <c r="A3" t="str">
        <f>"P"&amp;TEXT(ROW(A2),"000")</f>
        <v>P002</v>
      </c>
      <c r="B3" t="str">
        <f ca="1">CHOOSE(RANDBETWEEN(1,10),"James","Maria","David","Sarah","Michael","Emily","Daniel","Olivia","William","Sophia")</f>
        <v>Michael</v>
      </c>
      <c r="C3" t="str">
        <f ca="1">CHOOSE(RANDBETWEEN(1,10),"Anderson","Garcia","Martinez","Johnson","Smith","Davis","Wilson","Brown","Taylor","Moore")</f>
        <v>Garcia</v>
      </c>
      <c r="D3" t="str">
        <f ca="1">B3&amp;" "&amp;C3</f>
        <v>Michael Garcia</v>
      </c>
      <c r="E3">
        <f ca="1">RANDBETWEEN(20,70)</f>
        <v>52</v>
      </c>
      <c r="F3" t="str">
        <f ca="1">IF(RANDBETWEEN(0,1)=0, "Male","Female")</f>
        <v>Male</v>
      </c>
      <c r="G3" t="str">
        <f ca="1">CHOOSE(RANDBETWEEN(1,5),"Seoul","Busan","Incheon","Daegu","Daejon")</f>
        <v>Daejon</v>
      </c>
      <c r="H3" s="1">
        <f ca="1">DATE(2026 - E3,RANDBETWEEN(1,12),RANDBETWEEN(1,28))</f>
        <v>27336</v>
      </c>
      <c r="I3" t="str">
        <f ca="1">IF(E3&lt;30,"Young Adult",IF(E3&lt;50,"Adult","Senior"))</f>
        <v>Senior</v>
      </c>
    </row>
    <row r="4" spans="1:9" x14ac:dyDescent="0.25">
      <c r="A4" t="str">
        <f t="shared" ref="A4:A67" si="0">"P"&amp;TEXT(ROW(A3),"000")</f>
        <v>P003</v>
      </c>
      <c r="B4" t="str">
        <f t="shared" ref="B4:B67" ca="1" si="1">CHOOSE(RANDBETWEEN(1,10),"James","Maria","David","Sarah","Michael","Emily","Daniel","Olivia","William","Sophia")</f>
        <v>Michael</v>
      </c>
      <c r="C4" t="str">
        <f t="shared" ref="C4:C67" ca="1" si="2">CHOOSE(RANDBETWEEN(1,10),"Anderson","Garcia","Martinez","Johnson","Smith","Davis","Wilson","Brown","Taylor","Moore")</f>
        <v>Martinez</v>
      </c>
      <c r="D4" t="str">
        <f t="shared" ref="D4:D67" ca="1" si="3">B4&amp;" "&amp;C4</f>
        <v>Michael Martinez</v>
      </c>
      <c r="E4">
        <f t="shared" ref="E4:E67" ca="1" si="4">RANDBETWEEN(20,70)</f>
        <v>35</v>
      </c>
      <c r="F4" t="str">
        <f t="shared" ref="F4:F67" ca="1" si="5">IF(RANDBETWEEN(0,1)=0, "Male","Female")</f>
        <v>Female</v>
      </c>
      <c r="G4" t="str">
        <f t="shared" ref="G4:G67" ca="1" si="6">CHOOSE(RANDBETWEEN(1,5),"Seoul","Busan","Incheon","Daegu","Daejon")</f>
        <v>Busan</v>
      </c>
      <c r="H4" s="1">
        <f t="shared" ref="H4:H67" ca="1" si="7">DATE(2026 - E4,RANDBETWEEN(1,12),RANDBETWEEN(1,28))</f>
        <v>33395</v>
      </c>
      <c r="I4" t="str">
        <f t="shared" ref="I4:I67" ca="1" si="8">IF(E4&lt;30,"Young Adult",IF(E4&lt;50,"Adult","Senior"))</f>
        <v>Adult</v>
      </c>
    </row>
    <row r="5" spans="1:9" x14ac:dyDescent="0.25">
      <c r="A5" t="str">
        <f t="shared" si="0"/>
        <v>P004</v>
      </c>
      <c r="B5" t="str">
        <f t="shared" ca="1" si="1"/>
        <v>David</v>
      </c>
      <c r="C5" t="str">
        <f t="shared" ca="1" si="2"/>
        <v>Davis</v>
      </c>
      <c r="D5" t="str">
        <f t="shared" ca="1" si="3"/>
        <v>David Davis</v>
      </c>
      <c r="E5">
        <f t="shared" ca="1" si="4"/>
        <v>67</v>
      </c>
      <c r="F5" t="str">
        <f t="shared" ca="1" si="5"/>
        <v>Female</v>
      </c>
      <c r="G5" t="str">
        <f t="shared" ca="1" si="6"/>
        <v>Busan</v>
      </c>
      <c r="H5" s="1">
        <f t="shared" ca="1" si="7"/>
        <v>21863</v>
      </c>
      <c r="I5" t="str">
        <f t="shared" ca="1" si="8"/>
        <v>Senior</v>
      </c>
    </row>
    <row r="6" spans="1:9" x14ac:dyDescent="0.25">
      <c r="A6" t="str">
        <f t="shared" si="0"/>
        <v>P005</v>
      </c>
      <c r="B6" t="str">
        <f t="shared" ca="1" si="1"/>
        <v>Sarah</v>
      </c>
      <c r="C6" t="str">
        <f t="shared" ca="1" si="2"/>
        <v>Smith</v>
      </c>
      <c r="D6" t="str">
        <f t="shared" ca="1" si="3"/>
        <v>Sarah Smith</v>
      </c>
      <c r="E6">
        <f t="shared" ca="1" si="4"/>
        <v>21</v>
      </c>
      <c r="F6" t="str">
        <f t="shared" ca="1" si="5"/>
        <v>Male</v>
      </c>
      <c r="G6" t="str">
        <f t="shared" ca="1" si="6"/>
        <v>Seoul</v>
      </c>
      <c r="H6" s="1">
        <f t="shared" ca="1" si="7"/>
        <v>38561</v>
      </c>
      <c r="I6" t="str">
        <f t="shared" ca="1" si="8"/>
        <v>Young Adult</v>
      </c>
    </row>
    <row r="7" spans="1:9" x14ac:dyDescent="0.25">
      <c r="A7" t="str">
        <f t="shared" si="0"/>
        <v>P006</v>
      </c>
      <c r="B7" t="str">
        <f t="shared" ca="1" si="1"/>
        <v>Michael</v>
      </c>
      <c r="C7" t="str">
        <f t="shared" ca="1" si="2"/>
        <v>Brown</v>
      </c>
      <c r="D7" t="str">
        <f t="shared" ca="1" si="3"/>
        <v>Michael Brown</v>
      </c>
      <c r="E7">
        <f t="shared" ca="1" si="4"/>
        <v>23</v>
      </c>
      <c r="F7" t="str">
        <f t="shared" ca="1" si="5"/>
        <v>Female</v>
      </c>
      <c r="G7" t="str">
        <f t="shared" ca="1" si="6"/>
        <v>Busan</v>
      </c>
      <c r="H7" s="1">
        <f t="shared" ca="1" si="7"/>
        <v>37777</v>
      </c>
      <c r="I7" t="str">
        <f t="shared" ca="1" si="8"/>
        <v>Young Adult</v>
      </c>
    </row>
    <row r="8" spans="1:9" x14ac:dyDescent="0.25">
      <c r="A8" t="str">
        <f t="shared" si="0"/>
        <v>P007</v>
      </c>
      <c r="B8" t="str">
        <f t="shared" ca="1" si="1"/>
        <v>Maria</v>
      </c>
      <c r="C8" t="str">
        <f t="shared" ca="1" si="2"/>
        <v>Davis</v>
      </c>
      <c r="D8" t="str">
        <f t="shared" ca="1" si="3"/>
        <v>Maria Davis</v>
      </c>
      <c r="E8">
        <f t="shared" ca="1" si="4"/>
        <v>29</v>
      </c>
      <c r="F8" t="str">
        <f t="shared" ca="1" si="5"/>
        <v>Male</v>
      </c>
      <c r="G8" t="str">
        <f t="shared" ca="1" si="6"/>
        <v>Incheon</v>
      </c>
      <c r="H8" s="1">
        <f t="shared" ca="1" si="7"/>
        <v>35465</v>
      </c>
      <c r="I8" t="str">
        <f t="shared" ca="1" si="8"/>
        <v>Young Adult</v>
      </c>
    </row>
    <row r="9" spans="1:9" x14ac:dyDescent="0.25">
      <c r="A9" t="str">
        <f t="shared" si="0"/>
        <v>P008</v>
      </c>
      <c r="B9" t="str">
        <f t="shared" ca="1" si="1"/>
        <v>Daniel</v>
      </c>
      <c r="C9" t="str">
        <f t="shared" ca="1" si="2"/>
        <v>Taylor</v>
      </c>
      <c r="D9" t="str">
        <f t="shared" ca="1" si="3"/>
        <v>Daniel Taylor</v>
      </c>
      <c r="E9">
        <f t="shared" ca="1" si="4"/>
        <v>51</v>
      </c>
      <c r="F9" t="str">
        <f t="shared" ca="1" si="5"/>
        <v>Male</v>
      </c>
      <c r="G9" t="str">
        <f t="shared" ca="1" si="6"/>
        <v>Incheon</v>
      </c>
      <c r="H9" s="1">
        <f t="shared" ca="1" si="7"/>
        <v>27440</v>
      </c>
      <c r="I9" t="str">
        <f t="shared" ca="1" si="8"/>
        <v>Senior</v>
      </c>
    </row>
    <row r="10" spans="1:9" x14ac:dyDescent="0.25">
      <c r="A10" t="str">
        <f t="shared" si="0"/>
        <v>P009</v>
      </c>
      <c r="B10" t="str">
        <f t="shared" ca="1" si="1"/>
        <v>Maria</v>
      </c>
      <c r="C10" t="str">
        <f t="shared" ca="1" si="2"/>
        <v>Davis</v>
      </c>
      <c r="D10" t="str">
        <f t="shared" ca="1" si="3"/>
        <v>Maria Davis</v>
      </c>
      <c r="E10">
        <f t="shared" ca="1" si="4"/>
        <v>68</v>
      </c>
      <c r="F10" t="str">
        <f t="shared" ca="1" si="5"/>
        <v>Male</v>
      </c>
      <c r="G10" t="str">
        <f t="shared" ca="1" si="6"/>
        <v>Incheon</v>
      </c>
      <c r="H10" s="1">
        <f t="shared" ca="1" si="7"/>
        <v>21227</v>
      </c>
      <c r="I10" t="str">
        <f t="shared" ca="1" si="8"/>
        <v>Senior</v>
      </c>
    </row>
    <row r="11" spans="1:9" x14ac:dyDescent="0.25">
      <c r="A11" t="str">
        <f t="shared" si="0"/>
        <v>P010</v>
      </c>
      <c r="B11" t="str">
        <f t="shared" ca="1" si="1"/>
        <v>James</v>
      </c>
      <c r="C11" t="str">
        <f t="shared" ca="1" si="2"/>
        <v>Wilson</v>
      </c>
      <c r="D11" t="str">
        <f t="shared" ca="1" si="3"/>
        <v>James Wilson</v>
      </c>
      <c r="E11">
        <f t="shared" ca="1" si="4"/>
        <v>31</v>
      </c>
      <c r="F11" t="str">
        <f t="shared" ca="1" si="5"/>
        <v>Female</v>
      </c>
      <c r="G11" t="str">
        <f t="shared" ca="1" si="6"/>
        <v>Busan</v>
      </c>
      <c r="H11" s="1">
        <f t="shared" ca="1" si="7"/>
        <v>35042</v>
      </c>
      <c r="I11" t="str">
        <f t="shared" ca="1" si="8"/>
        <v>Adult</v>
      </c>
    </row>
    <row r="12" spans="1:9" x14ac:dyDescent="0.25">
      <c r="A12" t="str">
        <f t="shared" si="0"/>
        <v>P011</v>
      </c>
      <c r="B12" t="str">
        <f t="shared" ca="1" si="1"/>
        <v>William</v>
      </c>
      <c r="C12" t="str">
        <f t="shared" ca="1" si="2"/>
        <v>Davis</v>
      </c>
      <c r="D12" t="str">
        <f t="shared" ca="1" si="3"/>
        <v>William Davis</v>
      </c>
      <c r="E12">
        <f t="shared" ca="1" si="4"/>
        <v>52</v>
      </c>
      <c r="F12" t="str">
        <f t="shared" ca="1" si="5"/>
        <v>Female</v>
      </c>
      <c r="G12" t="str">
        <f t="shared" ca="1" si="6"/>
        <v>Seoul</v>
      </c>
      <c r="H12" s="1">
        <f t="shared" ca="1" si="7"/>
        <v>27337</v>
      </c>
      <c r="I12" t="str">
        <f t="shared" ca="1" si="8"/>
        <v>Senior</v>
      </c>
    </row>
    <row r="13" spans="1:9" x14ac:dyDescent="0.25">
      <c r="A13" t="str">
        <f t="shared" si="0"/>
        <v>P012</v>
      </c>
      <c r="B13" t="str">
        <f t="shared" ca="1" si="1"/>
        <v>William</v>
      </c>
      <c r="C13" t="str">
        <f t="shared" ca="1" si="2"/>
        <v>Martinez</v>
      </c>
      <c r="D13" t="str">
        <f t="shared" ca="1" si="3"/>
        <v>William Martinez</v>
      </c>
      <c r="E13">
        <f t="shared" ca="1" si="4"/>
        <v>49</v>
      </c>
      <c r="F13" t="str">
        <f t="shared" ca="1" si="5"/>
        <v>Female</v>
      </c>
      <c r="G13" t="str">
        <f t="shared" ca="1" si="6"/>
        <v>Daegu</v>
      </c>
      <c r="H13" s="1">
        <f t="shared" ca="1" si="7"/>
        <v>28206</v>
      </c>
      <c r="I13" t="str">
        <f t="shared" ca="1" si="8"/>
        <v>Adult</v>
      </c>
    </row>
    <row r="14" spans="1:9" x14ac:dyDescent="0.25">
      <c r="A14" t="str">
        <f t="shared" si="0"/>
        <v>P013</v>
      </c>
      <c r="B14" t="str">
        <f t="shared" ca="1" si="1"/>
        <v>Olivia</v>
      </c>
      <c r="C14" t="str">
        <f t="shared" ca="1" si="2"/>
        <v>Johnson</v>
      </c>
      <c r="D14" t="str">
        <f t="shared" ca="1" si="3"/>
        <v>Olivia Johnson</v>
      </c>
      <c r="E14">
        <f t="shared" ca="1" si="4"/>
        <v>20</v>
      </c>
      <c r="F14" t="str">
        <f t="shared" ca="1" si="5"/>
        <v>Female</v>
      </c>
      <c r="G14" t="str">
        <f t="shared" ca="1" si="6"/>
        <v>Daegu</v>
      </c>
      <c r="H14" s="1">
        <f t="shared" ca="1" si="7"/>
        <v>38847</v>
      </c>
      <c r="I14" t="str">
        <f t="shared" ca="1" si="8"/>
        <v>Young Adult</v>
      </c>
    </row>
    <row r="15" spans="1:9" x14ac:dyDescent="0.25">
      <c r="A15" t="str">
        <f t="shared" si="0"/>
        <v>P014</v>
      </c>
      <c r="B15" t="str">
        <f t="shared" ca="1" si="1"/>
        <v>David</v>
      </c>
      <c r="C15" t="str">
        <f t="shared" ca="1" si="2"/>
        <v>Smith</v>
      </c>
      <c r="D15" t="str">
        <f t="shared" ca="1" si="3"/>
        <v>David Smith</v>
      </c>
      <c r="E15">
        <f t="shared" ca="1" si="4"/>
        <v>47</v>
      </c>
      <c r="F15" t="str">
        <f t="shared" ca="1" si="5"/>
        <v>Male</v>
      </c>
      <c r="G15" t="str">
        <f t="shared" ca="1" si="6"/>
        <v>Daejon</v>
      </c>
      <c r="H15" s="1">
        <f t="shared" ca="1" si="7"/>
        <v>28919</v>
      </c>
      <c r="I15" t="str">
        <f t="shared" ca="1" si="8"/>
        <v>Adult</v>
      </c>
    </row>
    <row r="16" spans="1:9" x14ac:dyDescent="0.25">
      <c r="A16" t="str">
        <f t="shared" si="0"/>
        <v>P015</v>
      </c>
      <c r="B16" t="str">
        <f t="shared" ca="1" si="1"/>
        <v>Sophia</v>
      </c>
      <c r="C16" t="str">
        <f t="shared" ca="1" si="2"/>
        <v>Wilson</v>
      </c>
      <c r="D16" t="str">
        <f t="shared" ca="1" si="3"/>
        <v>Sophia Wilson</v>
      </c>
      <c r="E16">
        <f t="shared" ca="1" si="4"/>
        <v>51</v>
      </c>
      <c r="F16" t="str">
        <f t="shared" ca="1" si="5"/>
        <v>Female</v>
      </c>
      <c r="G16" t="str">
        <f t="shared" ca="1" si="6"/>
        <v>Daejon</v>
      </c>
      <c r="H16" s="1">
        <f t="shared" ca="1" si="7"/>
        <v>27583</v>
      </c>
      <c r="I16" t="str">
        <f t="shared" ca="1" si="8"/>
        <v>Senior</v>
      </c>
    </row>
    <row r="17" spans="1:9" x14ac:dyDescent="0.25">
      <c r="A17" t="str">
        <f t="shared" si="0"/>
        <v>P016</v>
      </c>
      <c r="B17" t="str">
        <f t="shared" ca="1" si="1"/>
        <v>Olivia</v>
      </c>
      <c r="C17" t="str">
        <f t="shared" ca="1" si="2"/>
        <v>Johnson</v>
      </c>
      <c r="D17" t="str">
        <f t="shared" ca="1" si="3"/>
        <v>Olivia Johnson</v>
      </c>
      <c r="E17">
        <f t="shared" ca="1" si="4"/>
        <v>67</v>
      </c>
      <c r="F17" t="str">
        <f t="shared" ca="1" si="5"/>
        <v>Male</v>
      </c>
      <c r="G17" t="str">
        <f t="shared" ca="1" si="6"/>
        <v>Incheon</v>
      </c>
      <c r="H17" s="1">
        <f t="shared" ca="1" si="7"/>
        <v>21678</v>
      </c>
      <c r="I17" t="str">
        <f t="shared" ca="1" si="8"/>
        <v>Senior</v>
      </c>
    </row>
    <row r="18" spans="1:9" x14ac:dyDescent="0.25">
      <c r="A18" t="str">
        <f t="shared" si="0"/>
        <v>P017</v>
      </c>
      <c r="B18" t="str">
        <f t="shared" ca="1" si="1"/>
        <v>David</v>
      </c>
      <c r="C18" t="str">
        <f t="shared" ca="1" si="2"/>
        <v>Smith</v>
      </c>
      <c r="D18" t="str">
        <f t="shared" ca="1" si="3"/>
        <v>David Smith</v>
      </c>
      <c r="E18">
        <f t="shared" ca="1" si="4"/>
        <v>54</v>
      </c>
      <c r="F18" t="str">
        <f t="shared" ca="1" si="5"/>
        <v>Female</v>
      </c>
      <c r="G18" t="str">
        <f t="shared" ca="1" si="6"/>
        <v>Daegu</v>
      </c>
      <c r="H18" s="1">
        <f t="shared" ca="1" si="7"/>
        <v>26326</v>
      </c>
      <c r="I18" t="str">
        <f t="shared" ca="1" si="8"/>
        <v>Senior</v>
      </c>
    </row>
    <row r="19" spans="1:9" x14ac:dyDescent="0.25">
      <c r="A19" t="str">
        <f t="shared" si="0"/>
        <v>P018</v>
      </c>
      <c r="B19" t="str">
        <f t="shared" ca="1" si="1"/>
        <v>Daniel</v>
      </c>
      <c r="C19" t="str">
        <f t="shared" ca="1" si="2"/>
        <v>Brown</v>
      </c>
      <c r="D19" t="str">
        <f t="shared" ca="1" si="3"/>
        <v>Daniel Brown</v>
      </c>
      <c r="E19">
        <f t="shared" ca="1" si="4"/>
        <v>62</v>
      </c>
      <c r="F19" t="str">
        <f t="shared" ca="1" si="5"/>
        <v>Male</v>
      </c>
      <c r="G19" t="str">
        <f t="shared" ca="1" si="6"/>
        <v>Incheon</v>
      </c>
      <c r="H19" s="1">
        <f t="shared" ca="1" si="7"/>
        <v>23581</v>
      </c>
      <c r="I19" t="str">
        <f t="shared" ca="1" si="8"/>
        <v>Senior</v>
      </c>
    </row>
    <row r="20" spans="1:9" x14ac:dyDescent="0.25">
      <c r="A20" t="str">
        <f t="shared" si="0"/>
        <v>P019</v>
      </c>
      <c r="B20" t="str">
        <f t="shared" ca="1" si="1"/>
        <v>Daniel</v>
      </c>
      <c r="C20" t="str">
        <f t="shared" ca="1" si="2"/>
        <v>Wilson</v>
      </c>
      <c r="D20" t="str">
        <f t="shared" ca="1" si="3"/>
        <v>Daniel Wilson</v>
      </c>
      <c r="E20">
        <f t="shared" ca="1" si="4"/>
        <v>28</v>
      </c>
      <c r="F20" t="str">
        <f t="shared" ca="1" si="5"/>
        <v>Male</v>
      </c>
      <c r="G20" t="str">
        <f t="shared" ca="1" si="6"/>
        <v>Incheon</v>
      </c>
      <c r="H20" s="1">
        <f t="shared" ca="1" si="7"/>
        <v>35968</v>
      </c>
      <c r="I20" t="str">
        <f t="shared" ca="1" si="8"/>
        <v>Young Adult</v>
      </c>
    </row>
    <row r="21" spans="1:9" x14ac:dyDescent="0.25">
      <c r="A21" t="str">
        <f t="shared" si="0"/>
        <v>P020</v>
      </c>
      <c r="B21" t="str">
        <f t="shared" ca="1" si="1"/>
        <v>Maria</v>
      </c>
      <c r="C21" t="str">
        <f t="shared" ca="1" si="2"/>
        <v>Taylor</v>
      </c>
      <c r="D21" t="str">
        <f t="shared" ca="1" si="3"/>
        <v>Maria Taylor</v>
      </c>
      <c r="E21">
        <f t="shared" ca="1" si="4"/>
        <v>26</v>
      </c>
      <c r="F21" t="str">
        <f t="shared" ca="1" si="5"/>
        <v>Male</v>
      </c>
      <c r="G21" t="str">
        <f t="shared" ca="1" si="6"/>
        <v>Incheon</v>
      </c>
      <c r="H21" s="1">
        <f t="shared" ca="1" si="7"/>
        <v>36642</v>
      </c>
      <c r="I21" t="str">
        <f t="shared" ca="1" si="8"/>
        <v>Young Adult</v>
      </c>
    </row>
    <row r="22" spans="1:9" x14ac:dyDescent="0.25">
      <c r="A22" t="str">
        <f t="shared" si="0"/>
        <v>P021</v>
      </c>
      <c r="B22" t="str">
        <f t="shared" ca="1" si="1"/>
        <v>Emily</v>
      </c>
      <c r="C22" t="str">
        <f t="shared" ca="1" si="2"/>
        <v>Davis</v>
      </c>
      <c r="D22" t="str">
        <f t="shared" ca="1" si="3"/>
        <v>Emily Davis</v>
      </c>
      <c r="E22">
        <f t="shared" ca="1" si="4"/>
        <v>32</v>
      </c>
      <c r="F22" t="str">
        <f t="shared" ca="1" si="5"/>
        <v>Male</v>
      </c>
      <c r="G22" t="str">
        <f t="shared" ca="1" si="6"/>
        <v>Daegu</v>
      </c>
      <c r="H22" s="1">
        <f t="shared" ca="1" si="7"/>
        <v>34510</v>
      </c>
      <c r="I22" t="str">
        <f t="shared" ca="1" si="8"/>
        <v>Adult</v>
      </c>
    </row>
    <row r="23" spans="1:9" x14ac:dyDescent="0.25">
      <c r="A23" t="str">
        <f t="shared" si="0"/>
        <v>P022</v>
      </c>
      <c r="B23" t="str">
        <f t="shared" ca="1" si="1"/>
        <v>David</v>
      </c>
      <c r="C23" t="str">
        <f t="shared" ca="1" si="2"/>
        <v>Johnson</v>
      </c>
      <c r="D23" t="str">
        <f t="shared" ca="1" si="3"/>
        <v>David Johnson</v>
      </c>
      <c r="E23">
        <f t="shared" ca="1" si="4"/>
        <v>59</v>
      </c>
      <c r="F23" t="str">
        <f t="shared" ca="1" si="5"/>
        <v>Male</v>
      </c>
      <c r="G23" t="str">
        <f t="shared" ca="1" si="6"/>
        <v>Seoul</v>
      </c>
      <c r="H23" s="1">
        <f t="shared" ca="1" si="7"/>
        <v>24599</v>
      </c>
      <c r="I23" t="str">
        <f t="shared" ca="1" si="8"/>
        <v>Senior</v>
      </c>
    </row>
    <row r="24" spans="1:9" x14ac:dyDescent="0.25">
      <c r="A24" t="str">
        <f t="shared" si="0"/>
        <v>P023</v>
      </c>
      <c r="B24" t="str">
        <f t="shared" ca="1" si="1"/>
        <v>Sarah</v>
      </c>
      <c r="C24" t="str">
        <f t="shared" ca="1" si="2"/>
        <v>Moore</v>
      </c>
      <c r="D24" t="str">
        <f t="shared" ca="1" si="3"/>
        <v>Sarah Moore</v>
      </c>
      <c r="E24">
        <f t="shared" ca="1" si="4"/>
        <v>22</v>
      </c>
      <c r="F24" t="str">
        <f t="shared" ca="1" si="5"/>
        <v>Female</v>
      </c>
      <c r="G24" t="str">
        <f t="shared" ca="1" si="6"/>
        <v>Busan</v>
      </c>
      <c r="H24" s="1">
        <f t="shared" ca="1" si="7"/>
        <v>38224</v>
      </c>
      <c r="I24" t="str">
        <f t="shared" ca="1" si="8"/>
        <v>Young Adult</v>
      </c>
    </row>
    <row r="25" spans="1:9" x14ac:dyDescent="0.25">
      <c r="A25" t="str">
        <f t="shared" si="0"/>
        <v>P024</v>
      </c>
      <c r="B25" t="str">
        <f t="shared" ca="1" si="1"/>
        <v>Sarah</v>
      </c>
      <c r="C25" t="str">
        <f t="shared" ca="1" si="2"/>
        <v>Moore</v>
      </c>
      <c r="D25" t="str">
        <f t="shared" ca="1" si="3"/>
        <v>Sarah Moore</v>
      </c>
      <c r="E25">
        <f t="shared" ca="1" si="4"/>
        <v>51</v>
      </c>
      <c r="F25" t="str">
        <f t="shared" ca="1" si="5"/>
        <v>Male</v>
      </c>
      <c r="G25" t="str">
        <f t="shared" ca="1" si="6"/>
        <v>Daegu</v>
      </c>
      <c r="H25" s="1">
        <f t="shared" ca="1" si="7"/>
        <v>27652</v>
      </c>
      <c r="I25" t="str">
        <f t="shared" ca="1" si="8"/>
        <v>Senior</v>
      </c>
    </row>
    <row r="26" spans="1:9" x14ac:dyDescent="0.25">
      <c r="A26" t="str">
        <f t="shared" si="0"/>
        <v>P025</v>
      </c>
      <c r="B26" t="str">
        <f t="shared" ca="1" si="1"/>
        <v>Sophia</v>
      </c>
      <c r="C26" t="str">
        <f t="shared" ca="1" si="2"/>
        <v>Davis</v>
      </c>
      <c r="D26" t="str">
        <f t="shared" ca="1" si="3"/>
        <v>Sophia Davis</v>
      </c>
      <c r="E26">
        <f t="shared" ca="1" si="4"/>
        <v>61</v>
      </c>
      <c r="F26" t="str">
        <f t="shared" ca="1" si="5"/>
        <v>Male</v>
      </c>
      <c r="G26" t="str">
        <f t="shared" ca="1" si="6"/>
        <v>Seoul</v>
      </c>
      <c r="H26" s="1">
        <f t="shared" ca="1" si="7"/>
        <v>23791</v>
      </c>
      <c r="I26" t="str">
        <f t="shared" ca="1" si="8"/>
        <v>Senior</v>
      </c>
    </row>
    <row r="27" spans="1:9" x14ac:dyDescent="0.25">
      <c r="A27" t="str">
        <f t="shared" si="0"/>
        <v>P026</v>
      </c>
      <c r="B27" t="str">
        <f t="shared" ca="1" si="1"/>
        <v>Sarah</v>
      </c>
      <c r="C27" t="str">
        <f t="shared" ca="1" si="2"/>
        <v>Garcia</v>
      </c>
      <c r="D27" t="str">
        <f t="shared" ca="1" si="3"/>
        <v>Sarah Garcia</v>
      </c>
      <c r="E27">
        <f t="shared" ca="1" si="4"/>
        <v>20</v>
      </c>
      <c r="F27" t="str">
        <f t="shared" ca="1" si="5"/>
        <v>Female</v>
      </c>
      <c r="G27" t="str">
        <f t="shared" ca="1" si="6"/>
        <v>Incheon</v>
      </c>
      <c r="H27" s="1">
        <f t="shared" ca="1" si="7"/>
        <v>38947</v>
      </c>
      <c r="I27" t="str">
        <f t="shared" ca="1" si="8"/>
        <v>Young Adult</v>
      </c>
    </row>
    <row r="28" spans="1:9" x14ac:dyDescent="0.25">
      <c r="A28" t="str">
        <f t="shared" si="0"/>
        <v>P027</v>
      </c>
      <c r="B28" t="str">
        <f t="shared" ca="1" si="1"/>
        <v>William</v>
      </c>
      <c r="C28" t="str">
        <f t="shared" ca="1" si="2"/>
        <v>Brown</v>
      </c>
      <c r="D28" t="str">
        <f t="shared" ca="1" si="3"/>
        <v>William Brown</v>
      </c>
      <c r="E28">
        <f t="shared" ca="1" si="4"/>
        <v>28</v>
      </c>
      <c r="F28" t="str">
        <f t="shared" ca="1" si="5"/>
        <v>Male</v>
      </c>
      <c r="G28" t="str">
        <f t="shared" ca="1" si="6"/>
        <v>Busan</v>
      </c>
      <c r="H28" s="1">
        <f t="shared" ca="1" si="7"/>
        <v>36157</v>
      </c>
      <c r="I28" t="str">
        <f t="shared" ca="1" si="8"/>
        <v>Young Adult</v>
      </c>
    </row>
    <row r="29" spans="1:9" x14ac:dyDescent="0.25">
      <c r="A29" t="str">
        <f t="shared" si="0"/>
        <v>P028</v>
      </c>
      <c r="B29" t="str">
        <f t="shared" ca="1" si="1"/>
        <v>Daniel</v>
      </c>
      <c r="C29" t="str">
        <f t="shared" ca="1" si="2"/>
        <v>Martinez</v>
      </c>
      <c r="D29" t="str">
        <f t="shared" ca="1" si="3"/>
        <v>Daniel Martinez</v>
      </c>
      <c r="E29">
        <f t="shared" ca="1" si="4"/>
        <v>51</v>
      </c>
      <c r="F29" t="str">
        <f t="shared" ca="1" si="5"/>
        <v>Female</v>
      </c>
      <c r="G29" t="str">
        <f t="shared" ca="1" si="6"/>
        <v>Incheon</v>
      </c>
      <c r="H29" s="1">
        <f t="shared" ca="1" si="7"/>
        <v>27627</v>
      </c>
      <c r="I29" t="str">
        <f t="shared" ca="1" si="8"/>
        <v>Senior</v>
      </c>
    </row>
    <row r="30" spans="1:9" x14ac:dyDescent="0.25">
      <c r="A30" t="str">
        <f t="shared" si="0"/>
        <v>P029</v>
      </c>
      <c r="B30" t="str">
        <f t="shared" ca="1" si="1"/>
        <v>Sarah</v>
      </c>
      <c r="C30" t="str">
        <f t="shared" ca="1" si="2"/>
        <v>Davis</v>
      </c>
      <c r="D30" t="str">
        <f t="shared" ca="1" si="3"/>
        <v>Sarah Davis</v>
      </c>
      <c r="E30">
        <f t="shared" ca="1" si="4"/>
        <v>44</v>
      </c>
      <c r="F30" t="str">
        <f t="shared" ca="1" si="5"/>
        <v>Male</v>
      </c>
      <c r="G30" t="str">
        <f t="shared" ca="1" si="6"/>
        <v>Daejon</v>
      </c>
      <c r="H30" s="1">
        <f t="shared" ca="1" si="7"/>
        <v>30226</v>
      </c>
      <c r="I30" t="str">
        <f t="shared" ca="1" si="8"/>
        <v>Adult</v>
      </c>
    </row>
    <row r="31" spans="1:9" x14ac:dyDescent="0.25">
      <c r="A31" t="str">
        <f t="shared" si="0"/>
        <v>P030</v>
      </c>
      <c r="B31" t="str">
        <f t="shared" ca="1" si="1"/>
        <v>Maria</v>
      </c>
      <c r="C31" t="str">
        <f t="shared" ca="1" si="2"/>
        <v>Smith</v>
      </c>
      <c r="D31" t="str">
        <f t="shared" ca="1" si="3"/>
        <v>Maria Smith</v>
      </c>
      <c r="E31">
        <f t="shared" ca="1" si="4"/>
        <v>27</v>
      </c>
      <c r="F31" t="str">
        <f t="shared" ca="1" si="5"/>
        <v>Female</v>
      </c>
      <c r="G31" t="str">
        <f t="shared" ca="1" si="6"/>
        <v>Daejon</v>
      </c>
      <c r="H31" s="1">
        <f t="shared" ca="1" si="7"/>
        <v>36376</v>
      </c>
      <c r="I31" t="str">
        <f t="shared" ca="1" si="8"/>
        <v>Young Adult</v>
      </c>
    </row>
    <row r="32" spans="1:9" x14ac:dyDescent="0.25">
      <c r="A32" t="str">
        <f t="shared" si="0"/>
        <v>P031</v>
      </c>
      <c r="B32" t="str">
        <f t="shared" ca="1" si="1"/>
        <v>Sophia</v>
      </c>
      <c r="C32" t="str">
        <f t="shared" ca="1" si="2"/>
        <v>Martinez</v>
      </c>
      <c r="D32" t="str">
        <f t="shared" ca="1" si="3"/>
        <v>Sophia Martinez</v>
      </c>
      <c r="E32">
        <f t="shared" ca="1" si="4"/>
        <v>34</v>
      </c>
      <c r="F32" t="str">
        <f t="shared" ca="1" si="5"/>
        <v>Female</v>
      </c>
      <c r="G32" t="str">
        <f t="shared" ca="1" si="6"/>
        <v>Seoul</v>
      </c>
      <c r="H32" s="1">
        <f t="shared" ca="1" si="7"/>
        <v>33919</v>
      </c>
      <c r="I32" t="str">
        <f t="shared" ca="1" si="8"/>
        <v>Adult</v>
      </c>
    </row>
    <row r="33" spans="1:9" x14ac:dyDescent="0.25">
      <c r="A33" t="str">
        <f t="shared" si="0"/>
        <v>P032</v>
      </c>
      <c r="B33" t="str">
        <f t="shared" ca="1" si="1"/>
        <v>Michael</v>
      </c>
      <c r="C33" t="str">
        <f t="shared" ca="1" si="2"/>
        <v>Smith</v>
      </c>
      <c r="D33" t="str">
        <f t="shared" ca="1" si="3"/>
        <v>Michael Smith</v>
      </c>
      <c r="E33">
        <f t="shared" ca="1" si="4"/>
        <v>21</v>
      </c>
      <c r="F33" t="str">
        <f t="shared" ca="1" si="5"/>
        <v>Male</v>
      </c>
      <c r="G33" t="str">
        <f t="shared" ca="1" si="6"/>
        <v>Daejon</v>
      </c>
      <c r="H33" s="1">
        <f t="shared" ca="1" si="7"/>
        <v>38358</v>
      </c>
      <c r="I33" t="str">
        <f t="shared" ca="1" si="8"/>
        <v>Young Adult</v>
      </c>
    </row>
    <row r="34" spans="1:9" x14ac:dyDescent="0.25">
      <c r="A34" t="str">
        <f t="shared" si="0"/>
        <v>P033</v>
      </c>
      <c r="B34" t="str">
        <f t="shared" ca="1" si="1"/>
        <v>Sarah</v>
      </c>
      <c r="C34" t="str">
        <f t="shared" ca="1" si="2"/>
        <v>Martinez</v>
      </c>
      <c r="D34" t="str">
        <f t="shared" ca="1" si="3"/>
        <v>Sarah Martinez</v>
      </c>
      <c r="E34">
        <f t="shared" ca="1" si="4"/>
        <v>61</v>
      </c>
      <c r="F34" t="str">
        <f t="shared" ca="1" si="5"/>
        <v>Female</v>
      </c>
      <c r="G34" t="str">
        <f t="shared" ca="1" si="6"/>
        <v>Busan</v>
      </c>
      <c r="H34" s="1">
        <f t="shared" ca="1" si="7"/>
        <v>23787</v>
      </c>
      <c r="I34" t="str">
        <f t="shared" ca="1" si="8"/>
        <v>Senior</v>
      </c>
    </row>
    <row r="35" spans="1:9" x14ac:dyDescent="0.25">
      <c r="A35" t="str">
        <f t="shared" si="0"/>
        <v>P034</v>
      </c>
      <c r="B35" t="str">
        <f t="shared" ca="1" si="1"/>
        <v>Sarah</v>
      </c>
      <c r="C35" t="str">
        <f t="shared" ca="1" si="2"/>
        <v>Johnson</v>
      </c>
      <c r="D35" t="str">
        <f t="shared" ca="1" si="3"/>
        <v>Sarah Johnson</v>
      </c>
      <c r="E35">
        <f t="shared" ca="1" si="4"/>
        <v>65</v>
      </c>
      <c r="F35" t="str">
        <f t="shared" ca="1" si="5"/>
        <v>Male</v>
      </c>
      <c r="G35" t="str">
        <f t="shared" ca="1" si="6"/>
        <v>Busan</v>
      </c>
      <c r="H35" s="1">
        <f t="shared" ca="1" si="7"/>
        <v>22457</v>
      </c>
      <c r="I35" t="str">
        <f t="shared" ca="1" si="8"/>
        <v>Senior</v>
      </c>
    </row>
    <row r="36" spans="1:9" x14ac:dyDescent="0.25">
      <c r="A36" t="str">
        <f t="shared" si="0"/>
        <v>P035</v>
      </c>
      <c r="B36" t="str">
        <f t="shared" ca="1" si="1"/>
        <v>Maria</v>
      </c>
      <c r="C36" t="str">
        <f t="shared" ca="1" si="2"/>
        <v>Smith</v>
      </c>
      <c r="D36" t="str">
        <f t="shared" ca="1" si="3"/>
        <v>Maria Smith</v>
      </c>
      <c r="E36">
        <f t="shared" ca="1" si="4"/>
        <v>35</v>
      </c>
      <c r="F36" t="str">
        <f t="shared" ca="1" si="5"/>
        <v>Male</v>
      </c>
      <c r="G36" t="str">
        <f t="shared" ca="1" si="6"/>
        <v>Daegu</v>
      </c>
      <c r="H36" s="1">
        <f t="shared" ca="1" si="7"/>
        <v>33361</v>
      </c>
      <c r="I36" t="str">
        <f t="shared" ca="1" si="8"/>
        <v>Adult</v>
      </c>
    </row>
    <row r="37" spans="1:9" x14ac:dyDescent="0.25">
      <c r="A37" t="str">
        <f t="shared" si="0"/>
        <v>P036</v>
      </c>
      <c r="B37" t="str">
        <f t="shared" ca="1" si="1"/>
        <v>James</v>
      </c>
      <c r="C37" t="str">
        <f t="shared" ca="1" si="2"/>
        <v>Davis</v>
      </c>
      <c r="D37" t="str">
        <f t="shared" ca="1" si="3"/>
        <v>James Davis</v>
      </c>
      <c r="E37">
        <f t="shared" ca="1" si="4"/>
        <v>30</v>
      </c>
      <c r="F37" t="str">
        <f t="shared" ca="1" si="5"/>
        <v>Male</v>
      </c>
      <c r="G37" t="str">
        <f t="shared" ca="1" si="6"/>
        <v>Daegu</v>
      </c>
      <c r="H37" s="1">
        <f t="shared" ca="1" si="7"/>
        <v>35161</v>
      </c>
      <c r="I37" t="str">
        <f t="shared" ca="1" si="8"/>
        <v>Adult</v>
      </c>
    </row>
    <row r="38" spans="1:9" x14ac:dyDescent="0.25">
      <c r="A38" t="str">
        <f t="shared" si="0"/>
        <v>P037</v>
      </c>
      <c r="B38" t="str">
        <f t="shared" ca="1" si="1"/>
        <v>Emily</v>
      </c>
      <c r="C38" t="str">
        <f t="shared" ca="1" si="2"/>
        <v>Moore</v>
      </c>
      <c r="D38" t="str">
        <f t="shared" ca="1" si="3"/>
        <v>Emily Moore</v>
      </c>
      <c r="E38">
        <f t="shared" ca="1" si="4"/>
        <v>41</v>
      </c>
      <c r="F38" t="str">
        <f t="shared" ca="1" si="5"/>
        <v>Female</v>
      </c>
      <c r="G38" t="str">
        <f t="shared" ca="1" si="6"/>
        <v>Daejon</v>
      </c>
      <c r="H38" s="1">
        <f t="shared" ca="1" si="7"/>
        <v>31138</v>
      </c>
      <c r="I38" t="str">
        <f t="shared" ca="1" si="8"/>
        <v>Adult</v>
      </c>
    </row>
    <row r="39" spans="1:9" x14ac:dyDescent="0.25">
      <c r="A39" t="str">
        <f t="shared" si="0"/>
        <v>P038</v>
      </c>
      <c r="B39" t="str">
        <f t="shared" ca="1" si="1"/>
        <v>Sarah</v>
      </c>
      <c r="C39" t="str">
        <f t="shared" ca="1" si="2"/>
        <v>Wilson</v>
      </c>
      <c r="D39" t="str">
        <f t="shared" ca="1" si="3"/>
        <v>Sarah Wilson</v>
      </c>
      <c r="E39">
        <f t="shared" ca="1" si="4"/>
        <v>32</v>
      </c>
      <c r="F39" t="str">
        <f t="shared" ca="1" si="5"/>
        <v>Female</v>
      </c>
      <c r="G39" t="str">
        <f t="shared" ca="1" si="6"/>
        <v>Busan</v>
      </c>
      <c r="H39" s="1">
        <f t="shared" ca="1" si="7"/>
        <v>34375</v>
      </c>
      <c r="I39" t="str">
        <f t="shared" ca="1" si="8"/>
        <v>Adult</v>
      </c>
    </row>
    <row r="40" spans="1:9" x14ac:dyDescent="0.25">
      <c r="A40" t="str">
        <f t="shared" si="0"/>
        <v>P039</v>
      </c>
      <c r="B40" t="str">
        <f t="shared" ca="1" si="1"/>
        <v>David</v>
      </c>
      <c r="C40" t="str">
        <f t="shared" ca="1" si="2"/>
        <v>Johnson</v>
      </c>
      <c r="D40" t="str">
        <f t="shared" ca="1" si="3"/>
        <v>David Johnson</v>
      </c>
      <c r="E40">
        <f t="shared" ca="1" si="4"/>
        <v>24</v>
      </c>
      <c r="F40" t="str">
        <f t="shared" ca="1" si="5"/>
        <v>Female</v>
      </c>
      <c r="G40" t="str">
        <f t="shared" ca="1" si="6"/>
        <v>Daegu</v>
      </c>
      <c r="H40" s="1">
        <f t="shared" ca="1" si="7"/>
        <v>37399</v>
      </c>
      <c r="I40" t="str">
        <f t="shared" ca="1" si="8"/>
        <v>Young Adult</v>
      </c>
    </row>
    <row r="41" spans="1:9" x14ac:dyDescent="0.25">
      <c r="A41" t="str">
        <f t="shared" si="0"/>
        <v>P040</v>
      </c>
      <c r="B41" t="str">
        <f t="shared" ca="1" si="1"/>
        <v>Sophia</v>
      </c>
      <c r="C41" t="str">
        <f t="shared" ca="1" si="2"/>
        <v>Smith</v>
      </c>
      <c r="D41" t="str">
        <f t="shared" ca="1" si="3"/>
        <v>Sophia Smith</v>
      </c>
      <c r="E41">
        <f t="shared" ca="1" si="4"/>
        <v>47</v>
      </c>
      <c r="F41" t="str">
        <f t="shared" ca="1" si="5"/>
        <v>Female</v>
      </c>
      <c r="G41" t="str">
        <f t="shared" ca="1" si="6"/>
        <v>Daegu</v>
      </c>
      <c r="H41" s="1">
        <f t="shared" ca="1" si="7"/>
        <v>28879</v>
      </c>
      <c r="I41" t="str">
        <f t="shared" ca="1" si="8"/>
        <v>Adult</v>
      </c>
    </row>
    <row r="42" spans="1:9" x14ac:dyDescent="0.25">
      <c r="A42" t="str">
        <f t="shared" si="0"/>
        <v>P041</v>
      </c>
      <c r="B42" t="str">
        <f t="shared" ca="1" si="1"/>
        <v>Maria</v>
      </c>
      <c r="C42" t="str">
        <f t="shared" ca="1" si="2"/>
        <v>Martinez</v>
      </c>
      <c r="D42" t="str">
        <f t="shared" ca="1" si="3"/>
        <v>Maria Martinez</v>
      </c>
      <c r="E42">
        <f t="shared" ca="1" si="4"/>
        <v>43</v>
      </c>
      <c r="F42" t="str">
        <f t="shared" ca="1" si="5"/>
        <v>Female</v>
      </c>
      <c r="G42" t="str">
        <f t="shared" ca="1" si="6"/>
        <v>Incheon</v>
      </c>
      <c r="H42" s="1">
        <f t="shared" ca="1" si="7"/>
        <v>30476</v>
      </c>
      <c r="I42" t="str">
        <f t="shared" ca="1" si="8"/>
        <v>Adult</v>
      </c>
    </row>
    <row r="43" spans="1:9" x14ac:dyDescent="0.25">
      <c r="A43" t="str">
        <f t="shared" si="0"/>
        <v>P042</v>
      </c>
      <c r="B43" t="str">
        <f t="shared" ca="1" si="1"/>
        <v>Emily</v>
      </c>
      <c r="C43" t="str">
        <f t="shared" ca="1" si="2"/>
        <v>Garcia</v>
      </c>
      <c r="D43" t="str">
        <f t="shared" ca="1" si="3"/>
        <v>Emily Garcia</v>
      </c>
      <c r="E43">
        <f t="shared" ca="1" si="4"/>
        <v>36</v>
      </c>
      <c r="F43" t="str">
        <f t="shared" ca="1" si="5"/>
        <v>Female</v>
      </c>
      <c r="G43" t="str">
        <f t="shared" ca="1" si="6"/>
        <v>Incheon</v>
      </c>
      <c r="H43" s="1">
        <f t="shared" ca="1" si="7"/>
        <v>33209</v>
      </c>
      <c r="I43" t="str">
        <f t="shared" ca="1" si="8"/>
        <v>Adult</v>
      </c>
    </row>
    <row r="44" spans="1:9" x14ac:dyDescent="0.25">
      <c r="A44" t="str">
        <f t="shared" si="0"/>
        <v>P043</v>
      </c>
      <c r="B44" t="str">
        <f t="shared" ca="1" si="1"/>
        <v>Sarah</v>
      </c>
      <c r="C44" t="str">
        <f t="shared" ca="1" si="2"/>
        <v>Garcia</v>
      </c>
      <c r="D44" t="str">
        <f t="shared" ca="1" si="3"/>
        <v>Sarah Garcia</v>
      </c>
      <c r="E44">
        <f t="shared" ca="1" si="4"/>
        <v>39</v>
      </c>
      <c r="F44" t="str">
        <f t="shared" ca="1" si="5"/>
        <v>Female</v>
      </c>
      <c r="G44" t="str">
        <f t="shared" ca="1" si="6"/>
        <v>Seoul</v>
      </c>
      <c r="H44" s="1">
        <f t="shared" ca="1" si="7"/>
        <v>31797</v>
      </c>
      <c r="I44" t="str">
        <f t="shared" ca="1" si="8"/>
        <v>Adult</v>
      </c>
    </row>
    <row r="45" spans="1:9" x14ac:dyDescent="0.25">
      <c r="A45" t="str">
        <f t="shared" si="0"/>
        <v>P044</v>
      </c>
      <c r="B45" t="str">
        <f t="shared" ca="1" si="1"/>
        <v>Olivia</v>
      </c>
      <c r="C45" t="str">
        <f t="shared" ca="1" si="2"/>
        <v>Taylor</v>
      </c>
      <c r="D45" t="str">
        <f t="shared" ca="1" si="3"/>
        <v>Olivia Taylor</v>
      </c>
      <c r="E45">
        <f t="shared" ca="1" si="4"/>
        <v>68</v>
      </c>
      <c r="F45" t="str">
        <f t="shared" ca="1" si="5"/>
        <v>Female</v>
      </c>
      <c r="G45" t="str">
        <f t="shared" ca="1" si="6"/>
        <v>Incheon</v>
      </c>
      <c r="H45" s="1">
        <f t="shared" ca="1" si="7"/>
        <v>21308</v>
      </c>
      <c r="I45" t="str">
        <f t="shared" ca="1" si="8"/>
        <v>Senior</v>
      </c>
    </row>
    <row r="46" spans="1:9" x14ac:dyDescent="0.25">
      <c r="A46" t="str">
        <f t="shared" si="0"/>
        <v>P045</v>
      </c>
      <c r="B46" t="str">
        <f t="shared" ca="1" si="1"/>
        <v>Sarah</v>
      </c>
      <c r="C46" t="str">
        <f t="shared" ca="1" si="2"/>
        <v>Anderson</v>
      </c>
      <c r="D46" t="str">
        <f t="shared" ca="1" si="3"/>
        <v>Sarah Anderson</v>
      </c>
      <c r="E46">
        <f t="shared" ca="1" si="4"/>
        <v>59</v>
      </c>
      <c r="F46" t="str">
        <f t="shared" ca="1" si="5"/>
        <v>Female</v>
      </c>
      <c r="G46" t="str">
        <f t="shared" ca="1" si="6"/>
        <v>Busan</v>
      </c>
      <c r="H46" s="1">
        <f t="shared" ca="1" si="7"/>
        <v>24609</v>
      </c>
      <c r="I46" t="str">
        <f t="shared" ca="1" si="8"/>
        <v>Senior</v>
      </c>
    </row>
    <row r="47" spans="1:9" x14ac:dyDescent="0.25">
      <c r="A47" t="str">
        <f t="shared" si="0"/>
        <v>P046</v>
      </c>
      <c r="B47" t="str">
        <f t="shared" ca="1" si="1"/>
        <v>Emily</v>
      </c>
      <c r="C47" t="str">
        <f t="shared" ca="1" si="2"/>
        <v>Wilson</v>
      </c>
      <c r="D47" t="str">
        <f t="shared" ca="1" si="3"/>
        <v>Emily Wilson</v>
      </c>
      <c r="E47">
        <f t="shared" ca="1" si="4"/>
        <v>37</v>
      </c>
      <c r="F47" t="str">
        <f t="shared" ca="1" si="5"/>
        <v>Female</v>
      </c>
      <c r="G47" t="str">
        <f t="shared" ca="1" si="6"/>
        <v>Daejon</v>
      </c>
      <c r="H47" s="1">
        <f t="shared" ca="1" si="7"/>
        <v>32849</v>
      </c>
      <c r="I47" t="str">
        <f t="shared" ca="1" si="8"/>
        <v>Adult</v>
      </c>
    </row>
    <row r="48" spans="1:9" x14ac:dyDescent="0.25">
      <c r="A48" t="str">
        <f t="shared" si="0"/>
        <v>P047</v>
      </c>
      <c r="B48" t="str">
        <f t="shared" ca="1" si="1"/>
        <v>Maria</v>
      </c>
      <c r="C48" t="str">
        <f t="shared" ca="1" si="2"/>
        <v>Brown</v>
      </c>
      <c r="D48" t="str">
        <f t="shared" ca="1" si="3"/>
        <v>Maria Brown</v>
      </c>
      <c r="E48">
        <f t="shared" ca="1" si="4"/>
        <v>52</v>
      </c>
      <c r="F48" t="str">
        <f t="shared" ca="1" si="5"/>
        <v>Female</v>
      </c>
      <c r="G48" t="str">
        <f t="shared" ca="1" si="6"/>
        <v>Seoul</v>
      </c>
      <c r="H48" s="1">
        <f t="shared" ca="1" si="7"/>
        <v>27309</v>
      </c>
      <c r="I48" t="str">
        <f t="shared" ca="1" si="8"/>
        <v>Senior</v>
      </c>
    </row>
    <row r="49" spans="1:9" x14ac:dyDescent="0.25">
      <c r="A49" t="str">
        <f t="shared" si="0"/>
        <v>P048</v>
      </c>
      <c r="B49" t="str">
        <f t="shared" ca="1" si="1"/>
        <v>Emily</v>
      </c>
      <c r="C49" t="str">
        <f t="shared" ca="1" si="2"/>
        <v>Wilson</v>
      </c>
      <c r="D49" t="str">
        <f t="shared" ca="1" si="3"/>
        <v>Emily Wilson</v>
      </c>
      <c r="E49">
        <f t="shared" ca="1" si="4"/>
        <v>42</v>
      </c>
      <c r="F49" t="str">
        <f t="shared" ca="1" si="5"/>
        <v>Male</v>
      </c>
      <c r="G49" t="str">
        <f t="shared" ca="1" si="6"/>
        <v>Seoul</v>
      </c>
      <c r="H49" s="1">
        <f t="shared" ca="1" si="7"/>
        <v>30927</v>
      </c>
      <c r="I49" t="str">
        <f t="shared" ca="1" si="8"/>
        <v>Adult</v>
      </c>
    </row>
    <row r="50" spans="1:9" x14ac:dyDescent="0.25">
      <c r="A50" t="str">
        <f t="shared" si="0"/>
        <v>P049</v>
      </c>
      <c r="B50" t="str">
        <f t="shared" ca="1" si="1"/>
        <v>Emily</v>
      </c>
      <c r="C50" t="str">
        <f t="shared" ca="1" si="2"/>
        <v>Martinez</v>
      </c>
      <c r="D50" t="str">
        <f t="shared" ca="1" si="3"/>
        <v>Emily Martinez</v>
      </c>
      <c r="E50">
        <f t="shared" ca="1" si="4"/>
        <v>20</v>
      </c>
      <c r="F50" t="str">
        <f t="shared" ca="1" si="5"/>
        <v>Male</v>
      </c>
      <c r="G50" t="str">
        <f t="shared" ca="1" si="6"/>
        <v>Seoul</v>
      </c>
      <c r="H50" s="1">
        <f t="shared" ca="1" si="7"/>
        <v>38900</v>
      </c>
      <c r="I50" t="str">
        <f t="shared" ca="1" si="8"/>
        <v>Young Adult</v>
      </c>
    </row>
    <row r="51" spans="1:9" x14ac:dyDescent="0.25">
      <c r="A51" t="str">
        <f t="shared" si="0"/>
        <v>P050</v>
      </c>
      <c r="B51" t="str">
        <f t="shared" ca="1" si="1"/>
        <v>David</v>
      </c>
      <c r="C51" t="str">
        <f t="shared" ca="1" si="2"/>
        <v>Johnson</v>
      </c>
      <c r="D51" t="str">
        <f t="shared" ca="1" si="3"/>
        <v>David Johnson</v>
      </c>
      <c r="E51">
        <f t="shared" ca="1" si="4"/>
        <v>45</v>
      </c>
      <c r="F51" t="str">
        <f t="shared" ca="1" si="5"/>
        <v>Female</v>
      </c>
      <c r="G51" t="str">
        <f t="shared" ca="1" si="6"/>
        <v>Busan</v>
      </c>
      <c r="H51" s="1">
        <f t="shared" ca="1" si="7"/>
        <v>29914</v>
      </c>
      <c r="I51" t="str">
        <f t="shared" ca="1" si="8"/>
        <v>Adult</v>
      </c>
    </row>
    <row r="52" spans="1:9" x14ac:dyDescent="0.25">
      <c r="A52" t="str">
        <f t="shared" si="0"/>
        <v>P051</v>
      </c>
      <c r="B52" t="str">
        <f t="shared" ca="1" si="1"/>
        <v>Sarah</v>
      </c>
      <c r="C52" t="str">
        <f t="shared" ca="1" si="2"/>
        <v>Garcia</v>
      </c>
      <c r="D52" t="str">
        <f t="shared" ca="1" si="3"/>
        <v>Sarah Garcia</v>
      </c>
      <c r="E52">
        <f t="shared" ca="1" si="4"/>
        <v>66</v>
      </c>
      <c r="F52" t="str">
        <f t="shared" ca="1" si="5"/>
        <v>Female</v>
      </c>
      <c r="G52" t="str">
        <f t="shared" ca="1" si="6"/>
        <v>Daegu</v>
      </c>
      <c r="H52" s="1">
        <f t="shared" ca="1" si="7"/>
        <v>22038</v>
      </c>
      <c r="I52" t="str">
        <f t="shared" ca="1" si="8"/>
        <v>Senior</v>
      </c>
    </row>
    <row r="53" spans="1:9" x14ac:dyDescent="0.25">
      <c r="A53" t="str">
        <f t="shared" si="0"/>
        <v>P052</v>
      </c>
      <c r="B53" t="str">
        <f t="shared" ca="1" si="1"/>
        <v>Daniel</v>
      </c>
      <c r="C53" t="str">
        <f t="shared" ca="1" si="2"/>
        <v>Smith</v>
      </c>
      <c r="D53" t="str">
        <f t="shared" ca="1" si="3"/>
        <v>Daniel Smith</v>
      </c>
      <c r="E53">
        <f t="shared" ca="1" si="4"/>
        <v>37</v>
      </c>
      <c r="F53" t="str">
        <f t="shared" ca="1" si="5"/>
        <v>Male</v>
      </c>
      <c r="G53" t="str">
        <f t="shared" ca="1" si="6"/>
        <v>Busan</v>
      </c>
      <c r="H53" s="1">
        <f t="shared" ca="1" si="7"/>
        <v>32632</v>
      </c>
      <c r="I53" t="str">
        <f t="shared" ca="1" si="8"/>
        <v>Adult</v>
      </c>
    </row>
    <row r="54" spans="1:9" x14ac:dyDescent="0.25">
      <c r="A54" t="str">
        <f t="shared" si="0"/>
        <v>P053</v>
      </c>
      <c r="B54" t="str">
        <f t="shared" ca="1" si="1"/>
        <v>James</v>
      </c>
      <c r="C54" t="str">
        <f t="shared" ca="1" si="2"/>
        <v>Anderson</v>
      </c>
      <c r="D54" t="str">
        <f t="shared" ca="1" si="3"/>
        <v>James Anderson</v>
      </c>
      <c r="E54">
        <f t="shared" ca="1" si="4"/>
        <v>25</v>
      </c>
      <c r="F54" t="str">
        <f t="shared" ca="1" si="5"/>
        <v>Male</v>
      </c>
      <c r="G54" t="str">
        <f t="shared" ca="1" si="6"/>
        <v>Daejon</v>
      </c>
      <c r="H54" s="1">
        <f t="shared" ca="1" si="7"/>
        <v>37016</v>
      </c>
      <c r="I54" t="str">
        <f t="shared" ca="1" si="8"/>
        <v>Young Adult</v>
      </c>
    </row>
    <row r="55" spans="1:9" x14ac:dyDescent="0.25">
      <c r="A55" t="str">
        <f t="shared" si="0"/>
        <v>P054</v>
      </c>
      <c r="B55" t="str">
        <f t="shared" ca="1" si="1"/>
        <v>William</v>
      </c>
      <c r="C55" t="str">
        <f t="shared" ca="1" si="2"/>
        <v>Davis</v>
      </c>
      <c r="D55" t="str">
        <f t="shared" ca="1" si="3"/>
        <v>William Davis</v>
      </c>
      <c r="E55">
        <f t="shared" ca="1" si="4"/>
        <v>70</v>
      </c>
      <c r="F55" t="str">
        <f t="shared" ca="1" si="5"/>
        <v>Male</v>
      </c>
      <c r="G55" t="str">
        <f t="shared" ca="1" si="6"/>
        <v>Incheon</v>
      </c>
      <c r="H55" s="1">
        <f t="shared" ca="1" si="7"/>
        <v>20556</v>
      </c>
      <c r="I55" t="str">
        <f t="shared" ca="1" si="8"/>
        <v>Senior</v>
      </c>
    </row>
    <row r="56" spans="1:9" x14ac:dyDescent="0.25">
      <c r="A56" t="str">
        <f t="shared" si="0"/>
        <v>P055</v>
      </c>
      <c r="B56" t="str">
        <f t="shared" ca="1" si="1"/>
        <v>Sophia</v>
      </c>
      <c r="C56" t="str">
        <f t="shared" ca="1" si="2"/>
        <v>Smith</v>
      </c>
      <c r="D56" t="str">
        <f t="shared" ca="1" si="3"/>
        <v>Sophia Smith</v>
      </c>
      <c r="E56">
        <f t="shared" ca="1" si="4"/>
        <v>30</v>
      </c>
      <c r="F56" t="str">
        <f t="shared" ca="1" si="5"/>
        <v>Male</v>
      </c>
      <c r="G56" t="str">
        <f t="shared" ca="1" si="6"/>
        <v>Daegu</v>
      </c>
      <c r="H56" s="1">
        <f t="shared" ca="1" si="7"/>
        <v>35242</v>
      </c>
      <c r="I56" t="str">
        <f t="shared" ca="1" si="8"/>
        <v>Adult</v>
      </c>
    </row>
    <row r="57" spans="1:9" x14ac:dyDescent="0.25">
      <c r="A57" t="str">
        <f t="shared" si="0"/>
        <v>P056</v>
      </c>
      <c r="B57" t="str">
        <f t="shared" ca="1" si="1"/>
        <v>James</v>
      </c>
      <c r="C57" t="str">
        <f t="shared" ca="1" si="2"/>
        <v>Wilson</v>
      </c>
      <c r="D57" t="str">
        <f t="shared" ca="1" si="3"/>
        <v>James Wilson</v>
      </c>
      <c r="E57">
        <f t="shared" ca="1" si="4"/>
        <v>70</v>
      </c>
      <c r="F57" t="str">
        <f t="shared" ca="1" si="5"/>
        <v>Female</v>
      </c>
      <c r="G57" t="str">
        <f t="shared" ca="1" si="6"/>
        <v>Seoul</v>
      </c>
      <c r="H57" s="1">
        <f t="shared" ca="1" si="7"/>
        <v>20674</v>
      </c>
      <c r="I57" t="str">
        <f t="shared" ca="1" si="8"/>
        <v>Senior</v>
      </c>
    </row>
    <row r="58" spans="1:9" x14ac:dyDescent="0.25">
      <c r="A58" t="str">
        <f t="shared" si="0"/>
        <v>P057</v>
      </c>
      <c r="B58" t="str">
        <f t="shared" ca="1" si="1"/>
        <v>Sophia</v>
      </c>
      <c r="C58" t="str">
        <f t="shared" ca="1" si="2"/>
        <v>Johnson</v>
      </c>
      <c r="D58" t="str">
        <f t="shared" ca="1" si="3"/>
        <v>Sophia Johnson</v>
      </c>
      <c r="E58">
        <f t="shared" ca="1" si="4"/>
        <v>48</v>
      </c>
      <c r="F58" t="str">
        <f t="shared" ca="1" si="5"/>
        <v>Female</v>
      </c>
      <c r="G58" t="str">
        <f t="shared" ca="1" si="6"/>
        <v>Seoul</v>
      </c>
      <c r="H58" s="1">
        <f t="shared" ca="1" si="7"/>
        <v>28554</v>
      </c>
      <c r="I58" t="str">
        <f t="shared" ca="1" si="8"/>
        <v>Adult</v>
      </c>
    </row>
    <row r="59" spans="1:9" x14ac:dyDescent="0.25">
      <c r="A59" t="str">
        <f t="shared" si="0"/>
        <v>P058</v>
      </c>
      <c r="B59" t="str">
        <f t="shared" ca="1" si="1"/>
        <v>Michael</v>
      </c>
      <c r="C59" t="str">
        <f t="shared" ca="1" si="2"/>
        <v>Wilson</v>
      </c>
      <c r="D59" t="str">
        <f t="shared" ca="1" si="3"/>
        <v>Michael Wilson</v>
      </c>
      <c r="E59">
        <f t="shared" ca="1" si="4"/>
        <v>31</v>
      </c>
      <c r="F59" t="str">
        <f t="shared" ca="1" si="5"/>
        <v>Female</v>
      </c>
      <c r="G59" t="str">
        <f t="shared" ca="1" si="6"/>
        <v>Daegu</v>
      </c>
      <c r="H59" s="1">
        <f t="shared" ca="1" si="7"/>
        <v>34966</v>
      </c>
      <c r="I59" t="str">
        <f t="shared" ca="1" si="8"/>
        <v>Adult</v>
      </c>
    </row>
    <row r="60" spans="1:9" x14ac:dyDescent="0.25">
      <c r="A60" t="str">
        <f t="shared" si="0"/>
        <v>P059</v>
      </c>
      <c r="B60" t="str">
        <f t="shared" ca="1" si="1"/>
        <v>Michael</v>
      </c>
      <c r="C60" t="str">
        <f t="shared" ca="1" si="2"/>
        <v>Davis</v>
      </c>
      <c r="D60" t="str">
        <f t="shared" ca="1" si="3"/>
        <v>Michael Davis</v>
      </c>
      <c r="E60">
        <f t="shared" ca="1" si="4"/>
        <v>34</v>
      </c>
      <c r="F60" t="str">
        <f t="shared" ca="1" si="5"/>
        <v>Female</v>
      </c>
      <c r="G60" t="str">
        <f t="shared" ca="1" si="6"/>
        <v>Daegu</v>
      </c>
      <c r="H60" s="1">
        <f t="shared" ca="1" si="7"/>
        <v>33809</v>
      </c>
      <c r="I60" t="str">
        <f t="shared" ca="1" si="8"/>
        <v>Adult</v>
      </c>
    </row>
    <row r="61" spans="1:9" x14ac:dyDescent="0.25">
      <c r="A61" t="str">
        <f t="shared" si="0"/>
        <v>P060</v>
      </c>
      <c r="B61" t="str">
        <f t="shared" ca="1" si="1"/>
        <v>James</v>
      </c>
      <c r="C61" t="str">
        <f t="shared" ca="1" si="2"/>
        <v>Garcia</v>
      </c>
      <c r="D61" t="str">
        <f t="shared" ca="1" si="3"/>
        <v>James Garcia</v>
      </c>
      <c r="E61">
        <f t="shared" ca="1" si="4"/>
        <v>67</v>
      </c>
      <c r="F61" t="str">
        <f t="shared" ca="1" si="5"/>
        <v>Male</v>
      </c>
      <c r="G61" t="str">
        <f t="shared" ca="1" si="6"/>
        <v>Daejon</v>
      </c>
      <c r="H61" s="1">
        <f t="shared" ca="1" si="7"/>
        <v>21659</v>
      </c>
      <c r="I61" t="str">
        <f t="shared" ca="1" si="8"/>
        <v>Senior</v>
      </c>
    </row>
    <row r="62" spans="1:9" x14ac:dyDescent="0.25">
      <c r="A62" t="str">
        <f t="shared" si="0"/>
        <v>P061</v>
      </c>
      <c r="B62" t="str">
        <f t="shared" ca="1" si="1"/>
        <v>William</v>
      </c>
      <c r="C62" t="str">
        <f t="shared" ca="1" si="2"/>
        <v>Wilson</v>
      </c>
      <c r="D62" t="str">
        <f t="shared" ca="1" si="3"/>
        <v>William Wilson</v>
      </c>
      <c r="E62">
        <f t="shared" ca="1" si="4"/>
        <v>63</v>
      </c>
      <c r="F62" t="str">
        <f t="shared" ca="1" si="5"/>
        <v>Female</v>
      </c>
      <c r="G62" t="str">
        <f t="shared" ca="1" si="6"/>
        <v>Seoul</v>
      </c>
      <c r="H62" s="1">
        <f t="shared" ca="1" si="7"/>
        <v>23069</v>
      </c>
      <c r="I62" t="str">
        <f t="shared" ca="1" si="8"/>
        <v>Senior</v>
      </c>
    </row>
    <row r="63" spans="1:9" x14ac:dyDescent="0.25">
      <c r="A63" t="str">
        <f t="shared" si="0"/>
        <v>P062</v>
      </c>
      <c r="B63" t="str">
        <f t="shared" ca="1" si="1"/>
        <v>James</v>
      </c>
      <c r="C63" t="str">
        <f t="shared" ca="1" si="2"/>
        <v>Martinez</v>
      </c>
      <c r="D63" t="str">
        <f t="shared" ca="1" si="3"/>
        <v>James Martinez</v>
      </c>
      <c r="E63">
        <f t="shared" ca="1" si="4"/>
        <v>69</v>
      </c>
      <c r="F63" t="str">
        <f t="shared" ca="1" si="5"/>
        <v>Male</v>
      </c>
      <c r="G63" t="str">
        <f t="shared" ca="1" si="6"/>
        <v>Incheon</v>
      </c>
      <c r="H63" s="1">
        <f t="shared" ca="1" si="7"/>
        <v>20951</v>
      </c>
      <c r="I63" t="str">
        <f t="shared" ca="1" si="8"/>
        <v>Senior</v>
      </c>
    </row>
    <row r="64" spans="1:9" x14ac:dyDescent="0.25">
      <c r="A64" t="str">
        <f t="shared" si="0"/>
        <v>P063</v>
      </c>
      <c r="B64" t="str">
        <f t="shared" ca="1" si="1"/>
        <v>Olivia</v>
      </c>
      <c r="C64" t="str">
        <f t="shared" ca="1" si="2"/>
        <v>Garcia</v>
      </c>
      <c r="D64" t="str">
        <f t="shared" ca="1" si="3"/>
        <v>Olivia Garcia</v>
      </c>
      <c r="E64">
        <f t="shared" ca="1" si="4"/>
        <v>24</v>
      </c>
      <c r="F64" t="str">
        <f t="shared" ca="1" si="5"/>
        <v>Female</v>
      </c>
      <c r="G64" t="str">
        <f t="shared" ca="1" si="6"/>
        <v>Daejon</v>
      </c>
      <c r="H64" s="1">
        <f t="shared" ca="1" si="7"/>
        <v>37577</v>
      </c>
      <c r="I64" t="str">
        <f t="shared" ca="1" si="8"/>
        <v>Young Adult</v>
      </c>
    </row>
    <row r="65" spans="1:9" x14ac:dyDescent="0.25">
      <c r="A65" t="str">
        <f t="shared" si="0"/>
        <v>P064</v>
      </c>
      <c r="B65" t="str">
        <f t="shared" ca="1" si="1"/>
        <v>Maria</v>
      </c>
      <c r="C65" t="str">
        <f t="shared" ca="1" si="2"/>
        <v>Johnson</v>
      </c>
      <c r="D65" t="str">
        <f t="shared" ca="1" si="3"/>
        <v>Maria Johnson</v>
      </c>
      <c r="E65">
        <f t="shared" ca="1" si="4"/>
        <v>66</v>
      </c>
      <c r="F65" t="str">
        <f t="shared" ca="1" si="5"/>
        <v>Male</v>
      </c>
      <c r="G65" t="str">
        <f t="shared" ca="1" si="6"/>
        <v>Daejon</v>
      </c>
      <c r="H65" s="1">
        <f t="shared" ca="1" si="7"/>
        <v>22163</v>
      </c>
      <c r="I65" t="str">
        <f t="shared" ca="1" si="8"/>
        <v>Senior</v>
      </c>
    </row>
    <row r="66" spans="1:9" x14ac:dyDescent="0.25">
      <c r="A66" t="str">
        <f t="shared" si="0"/>
        <v>P065</v>
      </c>
      <c r="B66" t="str">
        <f t="shared" ca="1" si="1"/>
        <v>Olivia</v>
      </c>
      <c r="C66" t="str">
        <f t="shared" ca="1" si="2"/>
        <v>Smith</v>
      </c>
      <c r="D66" t="str">
        <f t="shared" ca="1" si="3"/>
        <v>Olivia Smith</v>
      </c>
      <c r="E66">
        <f t="shared" ca="1" si="4"/>
        <v>31</v>
      </c>
      <c r="F66" t="str">
        <f t="shared" ca="1" si="5"/>
        <v>Female</v>
      </c>
      <c r="G66" t="str">
        <f t="shared" ca="1" si="6"/>
        <v>Busan</v>
      </c>
      <c r="H66" s="1">
        <f t="shared" ca="1" si="7"/>
        <v>34968</v>
      </c>
      <c r="I66" t="str">
        <f t="shared" ca="1" si="8"/>
        <v>Adult</v>
      </c>
    </row>
    <row r="67" spans="1:9" x14ac:dyDescent="0.25">
      <c r="A67" t="str">
        <f t="shared" si="0"/>
        <v>P066</v>
      </c>
      <c r="B67" t="str">
        <f t="shared" ca="1" si="1"/>
        <v>Maria</v>
      </c>
      <c r="C67" t="str">
        <f t="shared" ca="1" si="2"/>
        <v>Moore</v>
      </c>
      <c r="D67" t="str">
        <f t="shared" ca="1" si="3"/>
        <v>Maria Moore</v>
      </c>
      <c r="E67">
        <f t="shared" ca="1" si="4"/>
        <v>44</v>
      </c>
      <c r="F67" t="str">
        <f t="shared" ca="1" si="5"/>
        <v>Male</v>
      </c>
      <c r="G67" t="str">
        <f t="shared" ca="1" si="6"/>
        <v>Daejon</v>
      </c>
      <c r="H67" s="1">
        <f t="shared" ca="1" si="7"/>
        <v>30188</v>
      </c>
      <c r="I67" t="str">
        <f t="shared" ca="1" si="8"/>
        <v>Adult</v>
      </c>
    </row>
    <row r="68" spans="1:9" x14ac:dyDescent="0.25">
      <c r="A68" t="str">
        <f t="shared" ref="A68:A131" si="9">"P"&amp;TEXT(ROW(A67),"000")</f>
        <v>P067</v>
      </c>
      <c r="B68" t="str">
        <f t="shared" ref="B68:B131" ca="1" si="10">CHOOSE(RANDBETWEEN(1,10),"James","Maria","David","Sarah","Michael","Emily","Daniel","Olivia","William","Sophia")</f>
        <v>Olivia</v>
      </c>
      <c r="C68" t="str">
        <f t="shared" ref="C68:C131" ca="1" si="11">CHOOSE(RANDBETWEEN(1,10),"Anderson","Garcia","Martinez","Johnson","Smith","Davis","Wilson","Brown","Taylor","Moore")</f>
        <v>Taylor</v>
      </c>
      <c r="D68" t="str">
        <f t="shared" ref="D68:D131" ca="1" si="12">B68&amp;" "&amp;C68</f>
        <v>Olivia Taylor</v>
      </c>
      <c r="E68">
        <f t="shared" ref="E68:E131" ca="1" si="13">RANDBETWEEN(20,70)</f>
        <v>67</v>
      </c>
      <c r="F68" t="str">
        <f t="shared" ref="F68:F131" ca="1" si="14">IF(RANDBETWEEN(0,1)=0, "Male","Female")</f>
        <v>Male</v>
      </c>
      <c r="G68" t="str">
        <f t="shared" ref="G68:G131" ca="1" si="15">CHOOSE(RANDBETWEEN(1,5),"Seoul","Busan","Incheon","Daegu","Daejon")</f>
        <v>Daegu</v>
      </c>
      <c r="H68" s="1">
        <f t="shared" ref="H68:H131" ca="1" si="16">DATE(2026 - E68,RANDBETWEEN(1,12),RANDBETWEEN(1,28))</f>
        <v>21904</v>
      </c>
      <c r="I68" t="str">
        <f t="shared" ref="I68:I131" ca="1" si="17">IF(E68&lt;30,"Young Adult",IF(E68&lt;50,"Adult","Senior"))</f>
        <v>Senior</v>
      </c>
    </row>
    <row r="69" spans="1:9" x14ac:dyDescent="0.25">
      <c r="A69" t="str">
        <f t="shared" si="9"/>
        <v>P068</v>
      </c>
      <c r="B69" t="str">
        <f t="shared" ca="1" si="10"/>
        <v>Sarah</v>
      </c>
      <c r="C69" t="str">
        <f t="shared" ca="1" si="11"/>
        <v>Moore</v>
      </c>
      <c r="D69" t="str">
        <f t="shared" ca="1" si="12"/>
        <v>Sarah Moore</v>
      </c>
      <c r="E69">
        <f t="shared" ca="1" si="13"/>
        <v>20</v>
      </c>
      <c r="F69" t="str">
        <f t="shared" ca="1" si="14"/>
        <v>Male</v>
      </c>
      <c r="G69" t="str">
        <f t="shared" ca="1" si="15"/>
        <v>Daejon</v>
      </c>
      <c r="H69" s="1">
        <f t="shared" ca="1" si="16"/>
        <v>38792</v>
      </c>
      <c r="I69" t="str">
        <f t="shared" ca="1" si="17"/>
        <v>Young Adult</v>
      </c>
    </row>
    <row r="70" spans="1:9" x14ac:dyDescent="0.25">
      <c r="A70" t="str">
        <f t="shared" si="9"/>
        <v>P069</v>
      </c>
      <c r="B70" t="str">
        <f t="shared" ca="1" si="10"/>
        <v>Sarah</v>
      </c>
      <c r="C70" t="str">
        <f t="shared" ca="1" si="11"/>
        <v>Garcia</v>
      </c>
      <c r="D70" t="str">
        <f t="shared" ca="1" si="12"/>
        <v>Sarah Garcia</v>
      </c>
      <c r="E70">
        <f t="shared" ca="1" si="13"/>
        <v>29</v>
      </c>
      <c r="F70" t="str">
        <f t="shared" ca="1" si="14"/>
        <v>Female</v>
      </c>
      <c r="G70" t="str">
        <f t="shared" ca="1" si="15"/>
        <v>Seoul</v>
      </c>
      <c r="H70" s="1">
        <f t="shared" ca="1" si="16"/>
        <v>35608</v>
      </c>
      <c r="I70" t="str">
        <f t="shared" ca="1" si="17"/>
        <v>Young Adult</v>
      </c>
    </row>
    <row r="71" spans="1:9" x14ac:dyDescent="0.25">
      <c r="A71" t="str">
        <f t="shared" si="9"/>
        <v>P070</v>
      </c>
      <c r="B71" t="str">
        <f t="shared" ca="1" si="10"/>
        <v>Michael</v>
      </c>
      <c r="C71" t="str">
        <f t="shared" ca="1" si="11"/>
        <v>Smith</v>
      </c>
      <c r="D71" t="str">
        <f t="shared" ca="1" si="12"/>
        <v>Michael Smith</v>
      </c>
      <c r="E71">
        <f t="shared" ca="1" si="13"/>
        <v>30</v>
      </c>
      <c r="F71" t="str">
        <f t="shared" ca="1" si="14"/>
        <v>Male</v>
      </c>
      <c r="G71" t="str">
        <f t="shared" ca="1" si="15"/>
        <v>Daegu</v>
      </c>
      <c r="H71" s="1">
        <f t="shared" ca="1" si="16"/>
        <v>35206</v>
      </c>
      <c r="I71" t="str">
        <f t="shared" ca="1" si="17"/>
        <v>Adult</v>
      </c>
    </row>
    <row r="72" spans="1:9" x14ac:dyDescent="0.25">
      <c r="A72" t="str">
        <f t="shared" si="9"/>
        <v>P071</v>
      </c>
      <c r="B72" t="str">
        <f t="shared" ca="1" si="10"/>
        <v>James</v>
      </c>
      <c r="C72" t="str">
        <f t="shared" ca="1" si="11"/>
        <v>Johnson</v>
      </c>
      <c r="D72" t="str">
        <f t="shared" ca="1" si="12"/>
        <v>James Johnson</v>
      </c>
      <c r="E72">
        <f t="shared" ca="1" si="13"/>
        <v>28</v>
      </c>
      <c r="F72" t="str">
        <f t="shared" ca="1" si="14"/>
        <v>Female</v>
      </c>
      <c r="G72" t="str">
        <f t="shared" ca="1" si="15"/>
        <v>Seoul</v>
      </c>
      <c r="H72" s="1">
        <f t="shared" ca="1" si="16"/>
        <v>35952</v>
      </c>
      <c r="I72" t="str">
        <f t="shared" ca="1" si="17"/>
        <v>Young Adult</v>
      </c>
    </row>
    <row r="73" spans="1:9" x14ac:dyDescent="0.25">
      <c r="A73" t="str">
        <f t="shared" si="9"/>
        <v>P072</v>
      </c>
      <c r="B73" t="str">
        <f t="shared" ca="1" si="10"/>
        <v>Michael</v>
      </c>
      <c r="C73" t="str">
        <f t="shared" ca="1" si="11"/>
        <v>Moore</v>
      </c>
      <c r="D73" t="str">
        <f t="shared" ca="1" si="12"/>
        <v>Michael Moore</v>
      </c>
      <c r="E73">
        <f t="shared" ca="1" si="13"/>
        <v>34</v>
      </c>
      <c r="F73" t="str">
        <f t="shared" ca="1" si="14"/>
        <v>Female</v>
      </c>
      <c r="G73" t="str">
        <f t="shared" ca="1" si="15"/>
        <v>Incheon</v>
      </c>
      <c r="H73" s="1">
        <f t="shared" ca="1" si="16"/>
        <v>33631</v>
      </c>
      <c r="I73" t="str">
        <f t="shared" ca="1" si="17"/>
        <v>Adult</v>
      </c>
    </row>
    <row r="74" spans="1:9" x14ac:dyDescent="0.25">
      <c r="A74" t="str">
        <f t="shared" si="9"/>
        <v>P073</v>
      </c>
      <c r="B74" t="str">
        <f t="shared" ca="1" si="10"/>
        <v>Sarah</v>
      </c>
      <c r="C74" t="str">
        <f t="shared" ca="1" si="11"/>
        <v>Wilson</v>
      </c>
      <c r="D74" t="str">
        <f t="shared" ca="1" si="12"/>
        <v>Sarah Wilson</v>
      </c>
      <c r="E74">
        <f t="shared" ca="1" si="13"/>
        <v>37</v>
      </c>
      <c r="F74" t="str">
        <f t="shared" ca="1" si="14"/>
        <v>Female</v>
      </c>
      <c r="G74" t="str">
        <f t="shared" ca="1" si="15"/>
        <v>Daejon</v>
      </c>
      <c r="H74" s="1">
        <f t="shared" ca="1" si="16"/>
        <v>32513</v>
      </c>
      <c r="I74" t="str">
        <f t="shared" ca="1" si="17"/>
        <v>Adult</v>
      </c>
    </row>
    <row r="75" spans="1:9" x14ac:dyDescent="0.25">
      <c r="A75" t="str">
        <f t="shared" si="9"/>
        <v>P074</v>
      </c>
      <c r="B75" t="str">
        <f t="shared" ca="1" si="10"/>
        <v>Sarah</v>
      </c>
      <c r="C75" t="str">
        <f t="shared" ca="1" si="11"/>
        <v>Wilson</v>
      </c>
      <c r="D75" t="str">
        <f t="shared" ca="1" si="12"/>
        <v>Sarah Wilson</v>
      </c>
      <c r="E75">
        <f t="shared" ca="1" si="13"/>
        <v>64</v>
      </c>
      <c r="F75" t="str">
        <f t="shared" ca="1" si="14"/>
        <v>Female</v>
      </c>
      <c r="G75" t="str">
        <f t="shared" ca="1" si="15"/>
        <v>Busan</v>
      </c>
      <c r="H75" s="1">
        <f t="shared" ca="1" si="16"/>
        <v>22983</v>
      </c>
      <c r="I75" t="str">
        <f t="shared" ca="1" si="17"/>
        <v>Senior</v>
      </c>
    </row>
    <row r="76" spans="1:9" x14ac:dyDescent="0.25">
      <c r="A76" t="str">
        <f t="shared" si="9"/>
        <v>P075</v>
      </c>
      <c r="B76" t="str">
        <f t="shared" ca="1" si="10"/>
        <v>Sarah</v>
      </c>
      <c r="C76" t="str">
        <f t="shared" ca="1" si="11"/>
        <v>Garcia</v>
      </c>
      <c r="D76" t="str">
        <f t="shared" ca="1" si="12"/>
        <v>Sarah Garcia</v>
      </c>
      <c r="E76">
        <f t="shared" ca="1" si="13"/>
        <v>37</v>
      </c>
      <c r="F76" t="str">
        <f t="shared" ca="1" si="14"/>
        <v>Female</v>
      </c>
      <c r="G76" t="str">
        <f t="shared" ca="1" si="15"/>
        <v>Daejon</v>
      </c>
      <c r="H76" s="1">
        <f t="shared" ca="1" si="16"/>
        <v>32722</v>
      </c>
      <c r="I76" t="str">
        <f t="shared" ca="1" si="17"/>
        <v>Adult</v>
      </c>
    </row>
    <row r="77" spans="1:9" x14ac:dyDescent="0.25">
      <c r="A77" t="str">
        <f t="shared" si="9"/>
        <v>P076</v>
      </c>
      <c r="B77" t="str">
        <f t="shared" ca="1" si="10"/>
        <v>William</v>
      </c>
      <c r="C77" t="str">
        <f t="shared" ca="1" si="11"/>
        <v>Moore</v>
      </c>
      <c r="D77" t="str">
        <f t="shared" ca="1" si="12"/>
        <v>William Moore</v>
      </c>
      <c r="E77">
        <f t="shared" ca="1" si="13"/>
        <v>29</v>
      </c>
      <c r="F77" t="str">
        <f t="shared" ca="1" si="14"/>
        <v>Male</v>
      </c>
      <c r="G77" t="str">
        <f t="shared" ca="1" si="15"/>
        <v>Daejon</v>
      </c>
      <c r="H77" s="1">
        <f t="shared" ca="1" si="16"/>
        <v>35575</v>
      </c>
      <c r="I77" t="str">
        <f t="shared" ca="1" si="17"/>
        <v>Young Adult</v>
      </c>
    </row>
    <row r="78" spans="1:9" x14ac:dyDescent="0.25">
      <c r="A78" t="str">
        <f t="shared" si="9"/>
        <v>P077</v>
      </c>
      <c r="B78" t="str">
        <f t="shared" ca="1" si="10"/>
        <v>Sarah</v>
      </c>
      <c r="C78" t="str">
        <f t="shared" ca="1" si="11"/>
        <v>Martinez</v>
      </c>
      <c r="D78" t="str">
        <f t="shared" ca="1" si="12"/>
        <v>Sarah Martinez</v>
      </c>
      <c r="E78">
        <f t="shared" ca="1" si="13"/>
        <v>28</v>
      </c>
      <c r="F78" t="str">
        <f t="shared" ca="1" si="14"/>
        <v>Male</v>
      </c>
      <c r="G78" t="str">
        <f t="shared" ca="1" si="15"/>
        <v>Busan</v>
      </c>
      <c r="H78" s="1">
        <f t="shared" ca="1" si="16"/>
        <v>36011</v>
      </c>
      <c r="I78" t="str">
        <f t="shared" ca="1" si="17"/>
        <v>Young Adult</v>
      </c>
    </row>
    <row r="79" spans="1:9" x14ac:dyDescent="0.25">
      <c r="A79" t="str">
        <f t="shared" si="9"/>
        <v>P078</v>
      </c>
      <c r="B79" t="str">
        <f t="shared" ca="1" si="10"/>
        <v>David</v>
      </c>
      <c r="C79" t="str">
        <f t="shared" ca="1" si="11"/>
        <v>Moore</v>
      </c>
      <c r="D79" t="str">
        <f t="shared" ca="1" si="12"/>
        <v>David Moore</v>
      </c>
      <c r="E79">
        <f t="shared" ca="1" si="13"/>
        <v>61</v>
      </c>
      <c r="F79" t="str">
        <f t="shared" ca="1" si="14"/>
        <v>Male</v>
      </c>
      <c r="G79" t="str">
        <f t="shared" ca="1" si="15"/>
        <v>Daegu</v>
      </c>
      <c r="H79" s="1">
        <f t="shared" ca="1" si="16"/>
        <v>23761</v>
      </c>
      <c r="I79" t="str">
        <f t="shared" ca="1" si="17"/>
        <v>Senior</v>
      </c>
    </row>
    <row r="80" spans="1:9" x14ac:dyDescent="0.25">
      <c r="A80" t="str">
        <f t="shared" si="9"/>
        <v>P079</v>
      </c>
      <c r="B80" t="str">
        <f t="shared" ca="1" si="10"/>
        <v>Daniel</v>
      </c>
      <c r="C80" t="str">
        <f t="shared" ca="1" si="11"/>
        <v>Moore</v>
      </c>
      <c r="D80" t="str">
        <f t="shared" ca="1" si="12"/>
        <v>Daniel Moore</v>
      </c>
      <c r="E80">
        <f t="shared" ca="1" si="13"/>
        <v>58</v>
      </c>
      <c r="F80" t="str">
        <f t="shared" ca="1" si="14"/>
        <v>Male</v>
      </c>
      <c r="G80" t="str">
        <f t="shared" ca="1" si="15"/>
        <v>Daejon</v>
      </c>
      <c r="H80" s="1">
        <f t="shared" ca="1" si="16"/>
        <v>25028</v>
      </c>
      <c r="I80" t="str">
        <f t="shared" ca="1" si="17"/>
        <v>Senior</v>
      </c>
    </row>
    <row r="81" spans="1:9" x14ac:dyDescent="0.25">
      <c r="A81" t="str">
        <f t="shared" si="9"/>
        <v>P080</v>
      </c>
      <c r="B81" t="str">
        <f t="shared" ca="1" si="10"/>
        <v>Sophia</v>
      </c>
      <c r="C81" t="str">
        <f t="shared" ca="1" si="11"/>
        <v>Martinez</v>
      </c>
      <c r="D81" t="str">
        <f t="shared" ca="1" si="12"/>
        <v>Sophia Martinez</v>
      </c>
      <c r="E81">
        <f t="shared" ca="1" si="13"/>
        <v>70</v>
      </c>
      <c r="F81" t="str">
        <f t="shared" ca="1" si="14"/>
        <v>Female</v>
      </c>
      <c r="G81" t="str">
        <f t="shared" ca="1" si="15"/>
        <v>Daejon</v>
      </c>
      <c r="H81" s="1">
        <f t="shared" ca="1" si="16"/>
        <v>20669</v>
      </c>
      <c r="I81" t="str">
        <f t="shared" ca="1" si="17"/>
        <v>Senior</v>
      </c>
    </row>
    <row r="82" spans="1:9" x14ac:dyDescent="0.25">
      <c r="A82" t="str">
        <f t="shared" si="9"/>
        <v>P081</v>
      </c>
      <c r="B82" t="str">
        <f t="shared" ca="1" si="10"/>
        <v>Maria</v>
      </c>
      <c r="C82" t="str">
        <f t="shared" ca="1" si="11"/>
        <v>Taylor</v>
      </c>
      <c r="D82" t="str">
        <f t="shared" ca="1" si="12"/>
        <v>Maria Taylor</v>
      </c>
      <c r="E82">
        <f t="shared" ca="1" si="13"/>
        <v>41</v>
      </c>
      <c r="F82" t="str">
        <f t="shared" ca="1" si="14"/>
        <v>Male</v>
      </c>
      <c r="G82" t="str">
        <f t="shared" ca="1" si="15"/>
        <v>Seoul</v>
      </c>
      <c r="H82" s="1">
        <f t="shared" ca="1" si="16"/>
        <v>31405</v>
      </c>
      <c r="I82" t="str">
        <f t="shared" ca="1" si="17"/>
        <v>Adult</v>
      </c>
    </row>
    <row r="83" spans="1:9" x14ac:dyDescent="0.25">
      <c r="A83" t="str">
        <f t="shared" si="9"/>
        <v>P082</v>
      </c>
      <c r="B83" t="str">
        <f t="shared" ca="1" si="10"/>
        <v>Maria</v>
      </c>
      <c r="C83" t="str">
        <f t="shared" ca="1" si="11"/>
        <v>Garcia</v>
      </c>
      <c r="D83" t="str">
        <f t="shared" ca="1" si="12"/>
        <v>Maria Garcia</v>
      </c>
      <c r="E83">
        <f t="shared" ca="1" si="13"/>
        <v>23</v>
      </c>
      <c r="F83" t="str">
        <f t="shared" ca="1" si="14"/>
        <v>Male</v>
      </c>
      <c r="G83" t="str">
        <f t="shared" ca="1" si="15"/>
        <v>Daegu</v>
      </c>
      <c r="H83" s="1">
        <f t="shared" ca="1" si="16"/>
        <v>37748</v>
      </c>
      <c r="I83" t="str">
        <f t="shared" ca="1" si="17"/>
        <v>Young Adult</v>
      </c>
    </row>
    <row r="84" spans="1:9" x14ac:dyDescent="0.25">
      <c r="A84" t="str">
        <f t="shared" si="9"/>
        <v>P083</v>
      </c>
      <c r="B84" t="str">
        <f t="shared" ca="1" si="10"/>
        <v>Sarah</v>
      </c>
      <c r="C84" t="str">
        <f t="shared" ca="1" si="11"/>
        <v>Smith</v>
      </c>
      <c r="D84" t="str">
        <f t="shared" ca="1" si="12"/>
        <v>Sarah Smith</v>
      </c>
      <c r="E84">
        <f t="shared" ca="1" si="13"/>
        <v>45</v>
      </c>
      <c r="F84" t="str">
        <f t="shared" ca="1" si="14"/>
        <v>Female</v>
      </c>
      <c r="G84" t="str">
        <f t="shared" ca="1" si="15"/>
        <v>Daegu</v>
      </c>
      <c r="H84" s="1">
        <f t="shared" ca="1" si="16"/>
        <v>29711</v>
      </c>
      <c r="I84" t="str">
        <f t="shared" ca="1" si="17"/>
        <v>Adult</v>
      </c>
    </row>
    <row r="85" spans="1:9" x14ac:dyDescent="0.25">
      <c r="A85" t="str">
        <f t="shared" si="9"/>
        <v>P084</v>
      </c>
      <c r="B85" t="str">
        <f t="shared" ca="1" si="10"/>
        <v>Emily</v>
      </c>
      <c r="C85" t="str">
        <f t="shared" ca="1" si="11"/>
        <v>Taylor</v>
      </c>
      <c r="D85" t="str">
        <f t="shared" ca="1" si="12"/>
        <v>Emily Taylor</v>
      </c>
      <c r="E85">
        <f t="shared" ca="1" si="13"/>
        <v>51</v>
      </c>
      <c r="F85" t="str">
        <f t="shared" ca="1" si="14"/>
        <v>Male</v>
      </c>
      <c r="G85" t="str">
        <f t="shared" ca="1" si="15"/>
        <v>Daejon</v>
      </c>
      <c r="H85" s="1">
        <f t="shared" ca="1" si="16"/>
        <v>27507</v>
      </c>
      <c r="I85" t="str">
        <f t="shared" ca="1" si="17"/>
        <v>Senior</v>
      </c>
    </row>
    <row r="86" spans="1:9" x14ac:dyDescent="0.25">
      <c r="A86" t="str">
        <f t="shared" si="9"/>
        <v>P085</v>
      </c>
      <c r="B86" t="str">
        <f t="shared" ca="1" si="10"/>
        <v>Sophia</v>
      </c>
      <c r="C86" t="str">
        <f t="shared" ca="1" si="11"/>
        <v>Davis</v>
      </c>
      <c r="D86" t="str">
        <f t="shared" ca="1" si="12"/>
        <v>Sophia Davis</v>
      </c>
      <c r="E86">
        <f t="shared" ca="1" si="13"/>
        <v>56</v>
      </c>
      <c r="F86" t="str">
        <f t="shared" ca="1" si="14"/>
        <v>Male</v>
      </c>
      <c r="G86" t="str">
        <f t="shared" ca="1" si="15"/>
        <v>Incheon</v>
      </c>
      <c r="H86" s="1">
        <f t="shared" ca="1" si="16"/>
        <v>25664</v>
      </c>
      <c r="I86" t="str">
        <f t="shared" ca="1" si="17"/>
        <v>Senior</v>
      </c>
    </row>
    <row r="87" spans="1:9" x14ac:dyDescent="0.25">
      <c r="A87" t="str">
        <f t="shared" si="9"/>
        <v>P086</v>
      </c>
      <c r="B87" t="str">
        <f t="shared" ca="1" si="10"/>
        <v>Sarah</v>
      </c>
      <c r="C87" t="str">
        <f t="shared" ca="1" si="11"/>
        <v>Moore</v>
      </c>
      <c r="D87" t="str">
        <f t="shared" ca="1" si="12"/>
        <v>Sarah Moore</v>
      </c>
      <c r="E87">
        <f t="shared" ca="1" si="13"/>
        <v>50</v>
      </c>
      <c r="F87" t="str">
        <f t="shared" ca="1" si="14"/>
        <v>Female</v>
      </c>
      <c r="G87" t="str">
        <f t="shared" ca="1" si="15"/>
        <v>Daejon</v>
      </c>
      <c r="H87" s="1">
        <f t="shared" ca="1" si="16"/>
        <v>27800</v>
      </c>
      <c r="I87" t="str">
        <f t="shared" ca="1" si="17"/>
        <v>Senior</v>
      </c>
    </row>
    <row r="88" spans="1:9" x14ac:dyDescent="0.25">
      <c r="A88" t="str">
        <f t="shared" si="9"/>
        <v>P087</v>
      </c>
      <c r="B88" t="str">
        <f t="shared" ca="1" si="10"/>
        <v>David</v>
      </c>
      <c r="C88" t="str">
        <f t="shared" ca="1" si="11"/>
        <v>Garcia</v>
      </c>
      <c r="D88" t="str">
        <f t="shared" ca="1" si="12"/>
        <v>David Garcia</v>
      </c>
      <c r="E88">
        <f t="shared" ca="1" si="13"/>
        <v>29</v>
      </c>
      <c r="F88" t="str">
        <f t="shared" ca="1" si="14"/>
        <v>Female</v>
      </c>
      <c r="G88" t="str">
        <f t="shared" ca="1" si="15"/>
        <v>Busan</v>
      </c>
      <c r="H88" s="1">
        <f t="shared" ca="1" si="16"/>
        <v>35508</v>
      </c>
      <c r="I88" t="str">
        <f t="shared" ca="1" si="17"/>
        <v>Young Adult</v>
      </c>
    </row>
    <row r="89" spans="1:9" x14ac:dyDescent="0.25">
      <c r="A89" t="str">
        <f t="shared" si="9"/>
        <v>P088</v>
      </c>
      <c r="B89" t="str">
        <f t="shared" ca="1" si="10"/>
        <v>James</v>
      </c>
      <c r="C89" t="str">
        <f t="shared" ca="1" si="11"/>
        <v>Anderson</v>
      </c>
      <c r="D89" t="str">
        <f t="shared" ca="1" si="12"/>
        <v>James Anderson</v>
      </c>
      <c r="E89">
        <f t="shared" ca="1" si="13"/>
        <v>35</v>
      </c>
      <c r="F89" t="str">
        <f t="shared" ca="1" si="14"/>
        <v>Female</v>
      </c>
      <c r="G89" t="str">
        <f t="shared" ca="1" si="15"/>
        <v>Seoul</v>
      </c>
      <c r="H89" s="1">
        <f t="shared" ca="1" si="16"/>
        <v>33363</v>
      </c>
      <c r="I89" t="str">
        <f t="shared" ca="1" si="17"/>
        <v>Adult</v>
      </c>
    </row>
    <row r="90" spans="1:9" x14ac:dyDescent="0.25">
      <c r="A90" t="str">
        <f t="shared" si="9"/>
        <v>P089</v>
      </c>
      <c r="B90" t="str">
        <f t="shared" ca="1" si="10"/>
        <v>Maria</v>
      </c>
      <c r="C90" t="str">
        <f t="shared" ca="1" si="11"/>
        <v>Wilson</v>
      </c>
      <c r="D90" t="str">
        <f t="shared" ca="1" si="12"/>
        <v>Maria Wilson</v>
      </c>
      <c r="E90">
        <f t="shared" ca="1" si="13"/>
        <v>38</v>
      </c>
      <c r="F90" t="str">
        <f t="shared" ca="1" si="14"/>
        <v>Male</v>
      </c>
      <c r="G90" t="str">
        <f t="shared" ca="1" si="15"/>
        <v>Seoul</v>
      </c>
      <c r="H90" s="1">
        <f t="shared" ca="1" si="16"/>
        <v>32438</v>
      </c>
      <c r="I90" t="str">
        <f t="shared" ca="1" si="17"/>
        <v>Adult</v>
      </c>
    </row>
    <row r="91" spans="1:9" x14ac:dyDescent="0.25">
      <c r="A91" t="str">
        <f t="shared" si="9"/>
        <v>P090</v>
      </c>
      <c r="B91" t="str">
        <f t="shared" ca="1" si="10"/>
        <v>Sophia</v>
      </c>
      <c r="C91" t="str">
        <f t="shared" ca="1" si="11"/>
        <v>Anderson</v>
      </c>
      <c r="D91" t="str">
        <f t="shared" ca="1" si="12"/>
        <v>Sophia Anderson</v>
      </c>
      <c r="E91">
        <f t="shared" ca="1" si="13"/>
        <v>27</v>
      </c>
      <c r="F91" t="str">
        <f t="shared" ca="1" si="14"/>
        <v>Female</v>
      </c>
      <c r="G91" t="str">
        <f t="shared" ca="1" si="15"/>
        <v>Daejon</v>
      </c>
      <c r="H91" s="1">
        <f t="shared" ca="1" si="16"/>
        <v>36435</v>
      </c>
      <c r="I91" t="str">
        <f t="shared" ca="1" si="17"/>
        <v>Young Adult</v>
      </c>
    </row>
    <row r="92" spans="1:9" x14ac:dyDescent="0.25">
      <c r="A92" t="str">
        <f t="shared" si="9"/>
        <v>P091</v>
      </c>
      <c r="B92" t="str">
        <f t="shared" ca="1" si="10"/>
        <v>James</v>
      </c>
      <c r="C92" t="str">
        <f t="shared" ca="1" si="11"/>
        <v>Moore</v>
      </c>
      <c r="D92" t="str">
        <f t="shared" ca="1" si="12"/>
        <v>James Moore</v>
      </c>
      <c r="E92">
        <f t="shared" ca="1" si="13"/>
        <v>58</v>
      </c>
      <c r="F92" t="str">
        <f t="shared" ca="1" si="14"/>
        <v>Female</v>
      </c>
      <c r="G92" t="str">
        <f t="shared" ca="1" si="15"/>
        <v>Busan</v>
      </c>
      <c r="H92" s="1">
        <f t="shared" ca="1" si="16"/>
        <v>24947</v>
      </c>
      <c r="I92" t="str">
        <f t="shared" ca="1" si="17"/>
        <v>Senior</v>
      </c>
    </row>
    <row r="93" spans="1:9" x14ac:dyDescent="0.25">
      <c r="A93" t="str">
        <f t="shared" si="9"/>
        <v>P092</v>
      </c>
      <c r="B93" t="str">
        <f t="shared" ca="1" si="10"/>
        <v>Sarah</v>
      </c>
      <c r="C93" t="str">
        <f t="shared" ca="1" si="11"/>
        <v>Garcia</v>
      </c>
      <c r="D93" t="str">
        <f t="shared" ca="1" si="12"/>
        <v>Sarah Garcia</v>
      </c>
      <c r="E93">
        <f t="shared" ca="1" si="13"/>
        <v>63</v>
      </c>
      <c r="F93" t="str">
        <f t="shared" ca="1" si="14"/>
        <v>Male</v>
      </c>
      <c r="G93" t="str">
        <f t="shared" ca="1" si="15"/>
        <v>Incheon</v>
      </c>
      <c r="H93" s="1">
        <f t="shared" ca="1" si="16"/>
        <v>23128</v>
      </c>
      <c r="I93" t="str">
        <f t="shared" ca="1" si="17"/>
        <v>Senior</v>
      </c>
    </row>
    <row r="94" spans="1:9" x14ac:dyDescent="0.25">
      <c r="A94" t="str">
        <f t="shared" si="9"/>
        <v>P093</v>
      </c>
      <c r="B94" t="str">
        <f t="shared" ca="1" si="10"/>
        <v>Olivia</v>
      </c>
      <c r="C94" t="str">
        <f t="shared" ca="1" si="11"/>
        <v>Moore</v>
      </c>
      <c r="D94" t="str">
        <f t="shared" ca="1" si="12"/>
        <v>Olivia Moore</v>
      </c>
      <c r="E94">
        <f t="shared" ca="1" si="13"/>
        <v>39</v>
      </c>
      <c r="F94" t="str">
        <f t="shared" ca="1" si="14"/>
        <v>Male</v>
      </c>
      <c r="G94" t="str">
        <f t="shared" ca="1" si="15"/>
        <v>Busan</v>
      </c>
      <c r="H94" s="1">
        <f t="shared" ca="1" si="16"/>
        <v>32078</v>
      </c>
      <c r="I94" t="str">
        <f t="shared" ca="1" si="17"/>
        <v>Adult</v>
      </c>
    </row>
    <row r="95" spans="1:9" x14ac:dyDescent="0.25">
      <c r="A95" t="str">
        <f t="shared" si="9"/>
        <v>P094</v>
      </c>
      <c r="B95" t="str">
        <f t="shared" ca="1" si="10"/>
        <v>David</v>
      </c>
      <c r="C95" t="str">
        <f t="shared" ca="1" si="11"/>
        <v>Davis</v>
      </c>
      <c r="D95" t="str">
        <f t="shared" ca="1" si="12"/>
        <v>David Davis</v>
      </c>
      <c r="E95">
        <f t="shared" ca="1" si="13"/>
        <v>47</v>
      </c>
      <c r="F95" t="str">
        <f t="shared" ca="1" si="14"/>
        <v>Female</v>
      </c>
      <c r="G95" t="str">
        <f t="shared" ca="1" si="15"/>
        <v>Daejon</v>
      </c>
      <c r="H95" s="1">
        <f t="shared" ca="1" si="16"/>
        <v>29164</v>
      </c>
      <c r="I95" t="str">
        <f t="shared" ca="1" si="17"/>
        <v>Adult</v>
      </c>
    </row>
    <row r="96" spans="1:9" x14ac:dyDescent="0.25">
      <c r="A96" t="str">
        <f t="shared" si="9"/>
        <v>P095</v>
      </c>
      <c r="B96" t="str">
        <f t="shared" ca="1" si="10"/>
        <v>William</v>
      </c>
      <c r="C96" t="str">
        <f t="shared" ca="1" si="11"/>
        <v>Wilson</v>
      </c>
      <c r="D96" t="str">
        <f t="shared" ca="1" si="12"/>
        <v>William Wilson</v>
      </c>
      <c r="E96">
        <f t="shared" ca="1" si="13"/>
        <v>36</v>
      </c>
      <c r="F96" t="str">
        <f t="shared" ca="1" si="14"/>
        <v>Male</v>
      </c>
      <c r="G96" t="str">
        <f t="shared" ca="1" si="15"/>
        <v>Daejon</v>
      </c>
      <c r="H96" s="1">
        <f t="shared" ca="1" si="16"/>
        <v>33136</v>
      </c>
      <c r="I96" t="str">
        <f t="shared" ca="1" si="17"/>
        <v>Adult</v>
      </c>
    </row>
    <row r="97" spans="1:9" x14ac:dyDescent="0.25">
      <c r="A97" t="str">
        <f t="shared" si="9"/>
        <v>P096</v>
      </c>
      <c r="B97" t="str">
        <f t="shared" ca="1" si="10"/>
        <v>Michael</v>
      </c>
      <c r="C97" t="str">
        <f t="shared" ca="1" si="11"/>
        <v>Brown</v>
      </c>
      <c r="D97" t="str">
        <f t="shared" ca="1" si="12"/>
        <v>Michael Brown</v>
      </c>
      <c r="E97">
        <f t="shared" ca="1" si="13"/>
        <v>52</v>
      </c>
      <c r="F97" t="str">
        <f t="shared" ca="1" si="14"/>
        <v>Male</v>
      </c>
      <c r="G97" t="str">
        <f t="shared" ca="1" si="15"/>
        <v>Busan</v>
      </c>
      <c r="H97" s="1">
        <f t="shared" ca="1" si="16"/>
        <v>27098</v>
      </c>
      <c r="I97" t="str">
        <f t="shared" ca="1" si="17"/>
        <v>Senior</v>
      </c>
    </row>
    <row r="98" spans="1:9" x14ac:dyDescent="0.25">
      <c r="A98" t="str">
        <f t="shared" si="9"/>
        <v>P097</v>
      </c>
      <c r="B98" t="str">
        <f t="shared" ca="1" si="10"/>
        <v>Daniel</v>
      </c>
      <c r="C98" t="str">
        <f t="shared" ca="1" si="11"/>
        <v>Johnson</v>
      </c>
      <c r="D98" t="str">
        <f t="shared" ca="1" si="12"/>
        <v>Daniel Johnson</v>
      </c>
      <c r="E98">
        <f t="shared" ca="1" si="13"/>
        <v>37</v>
      </c>
      <c r="F98" t="str">
        <f t="shared" ca="1" si="14"/>
        <v>Male</v>
      </c>
      <c r="G98" t="str">
        <f t="shared" ca="1" si="15"/>
        <v>Daejon</v>
      </c>
      <c r="H98" s="1">
        <f t="shared" ca="1" si="16"/>
        <v>32748</v>
      </c>
      <c r="I98" t="str">
        <f t="shared" ca="1" si="17"/>
        <v>Adult</v>
      </c>
    </row>
    <row r="99" spans="1:9" x14ac:dyDescent="0.25">
      <c r="A99" t="str">
        <f t="shared" si="9"/>
        <v>P098</v>
      </c>
      <c r="B99" t="str">
        <f t="shared" ca="1" si="10"/>
        <v>David</v>
      </c>
      <c r="C99" t="str">
        <f t="shared" ca="1" si="11"/>
        <v>Johnson</v>
      </c>
      <c r="D99" t="str">
        <f t="shared" ca="1" si="12"/>
        <v>David Johnson</v>
      </c>
      <c r="E99">
        <f t="shared" ca="1" si="13"/>
        <v>61</v>
      </c>
      <c r="F99" t="str">
        <f t="shared" ca="1" si="14"/>
        <v>Male</v>
      </c>
      <c r="G99" t="str">
        <f t="shared" ca="1" si="15"/>
        <v>Seoul</v>
      </c>
      <c r="H99" s="1">
        <f t="shared" ca="1" si="16"/>
        <v>24063</v>
      </c>
      <c r="I99" t="str">
        <f t="shared" ca="1" si="17"/>
        <v>Senior</v>
      </c>
    </row>
    <row r="100" spans="1:9" x14ac:dyDescent="0.25">
      <c r="A100" t="str">
        <f t="shared" si="9"/>
        <v>P099</v>
      </c>
      <c r="B100" t="str">
        <f t="shared" ca="1" si="10"/>
        <v>Olivia</v>
      </c>
      <c r="C100" t="str">
        <f t="shared" ca="1" si="11"/>
        <v>Moore</v>
      </c>
      <c r="D100" t="str">
        <f t="shared" ca="1" si="12"/>
        <v>Olivia Moore</v>
      </c>
      <c r="E100">
        <f t="shared" ca="1" si="13"/>
        <v>50</v>
      </c>
      <c r="F100" t="str">
        <f t="shared" ca="1" si="14"/>
        <v>Female</v>
      </c>
      <c r="G100" t="str">
        <f t="shared" ca="1" si="15"/>
        <v>Busan</v>
      </c>
      <c r="H100" s="1">
        <f t="shared" ca="1" si="16"/>
        <v>27991</v>
      </c>
      <c r="I100" t="str">
        <f t="shared" ca="1" si="17"/>
        <v>Senior</v>
      </c>
    </row>
    <row r="101" spans="1:9" x14ac:dyDescent="0.25">
      <c r="A101" t="str">
        <f t="shared" si="9"/>
        <v>P100</v>
      </c>
      <c r="B101" t="str">
        <f t="shared" ca="1" si="10"/>
        <v>Sarah</v>
      </c>
      <c r="C101" t="str">
        <f t="shared" ca="1" si="11"/>
        <v>Anderson</v>
      </c>
      <c r="D101" t="str">
        <f t="shared" ca="1" si="12"/>
        <v>Sarah Anderson</v>
      </c>
      <c r="E101">
        <f t="shared" ca="1" si="13"/>
        <v>68</v>
      </c>
      <c r="F101" t="str">
        <f t="shared" ca="1" si="14"/>
        <v>Male</v>
      </c>
      <c r="G101" t="str">
        <f t="shared" ca="1" si="15"/>
        <v>Seoul</v>
      </c>
      <c r="H101" s="1">
        <f t="shared" ca="1" si="16"/>
        <v>21446</v>
      </c>
      <c r="I101" t="str">
        <f t="shared" ca="1" si="17"/>
        <v>Senior</v>
      </c>
    </row>
    <row r="102" spans="1:9" x14ac:dyDescent="0.25">
      <c r="A102" t="str">
        <f t="shared" si="9"/>
        <v>P101</v>
      </c>
      <c r="B102" t="str">
        <f t="shared" ca="1" si="10"/>
        <v>David</v>
      </c>
      <c r="C102" t="str">
        <f t="shared" ca="1" si="11"/>
        <v>Wilson</v>
      </c>
      <c r="D102" t="str">
        <f t="shared" ca="1" si="12"/>
        <v>David Wilson</v>
      </c>
      <c r="E102">
        <f t="shared" ca="1" si="13"/>
        <v>21</v>
      </c>
      <c r="F102" t="str">
        <f t="shared" ca="1" si="14"/>
        <v>Male</v>
      </c>
      <c r="G102" t="str">
        <f t="shared" ca="1" si="15"/>
        <v>Seoul</v>
      </c>
      <c r="H102" s="1">
        <f t="shared" ca="1" si="16"/>
        <v>38657</v>
      </c>
      <c r="I102" t="str">
        <f t="shared" ca="1" si="17"/>
        <v>Young Adult</v>
      </c>
    </row>
    <row r="103" spans="1:9" x14ac:dyDescent="0.25">
      <c r="A103" t="str">
        <f t="shared" si="9"/>
        <v>P102</v>
      </c>
      <c r="B103" t="str">
        <f t="shared" ca="1" si="10"/>
        <v>Emily</v>
      </c>
      <c r="C103" t="str">
        <f t="shared" ca="1" si="11"/>
        <v>Martinez</v>
      </c>
      <c r="D103" t="str">
        <f t="shared" ca="1" si="12"/>
        <v>Emily Martinez</v>
      </c>
      <c r="E103">
        <f t="shared" ca="1" si="13"/>
        <v>66</v>
      </c>
      <c r="F103" t="str">
        <f t="shared" ca="1" si="14"/>
        <v>Male</v>
      </c>
      <c r="G103" t="str">
        <f t="shared" ca="1" si="15"/>
        <v>Daegu</v>
      </c>
      <c r="H103" s="1">
        <f t="shared" ca="1" si="16"/>
        <v>22167</v>
      </c>
      <c r="I103" t="str">
        <f t="shared" ca="1" si="17"/>
        <v>Senior</v>
      </c>
    </row>
    <row r="104" spans="1:9" x14ac:dyDescent="0.25">
      <c r="A104" t="str">
        <f t="shared" si="9"/>
        <v>P103</v>
      </c>
      <c r="B104" t="str">
        <f t="shared" ca="1" si="10"/>
        <v>Sarah</v>
      </c>
      <c r="C104" t="str">
        <f t="shared" ca="1" si="11"/>
        <v>Martinez</v>
      </c>
      <c r="D104" t="str">
        <f t="shared" ca="1" si="12"/>
        <v>Sarah Martinez</v>
      </c>
      <c r="E104">
        <f t="shared" ca="1" si="13"/>
        <v>58</v>
      </c>
      <c r="F104" t="str">
        <f t="shared" ca="1" si="14"/>
        <v>Female</v>
      </c>
      <c r="G104" t="str">
        <f t="shared" ca="1" si="15"/>
        <v>Incheon</v>
      </c>
      <c r="H104" s="1">
        <f t="shared" ca="1" si="16"/>
        <v>25200</v>
      </c>
      <c r="I104" t="str">
        <f t="shared" ca="1" si="17"/>
        <v>Senior</v>
      </c>
    </row>
    <row r="105" spans="1:9" x14ac:dyDescent="0.25">
      <c r="A105" t="str">
        <f t="shared" si="9"/>
        <v>P104</v>
      </c>
      <c r="B105" t="str">
        <f t="shared" ca="1" si="10"/>
        <v>William</v>
      </c>
      <c r="C105" t="str">
        <f t="shared" ca="1" si="11"/>
        <v>Moore</v>
      </c>
      <c r="D105" t="str">
        <f t="shared" ca="1" si="12"/>
        <v>William Moore</v>
      </c>
      <c r="E105">
        <f t="shared" ca="1" si="13"/>
        <v>33</v>
      </c>
      <c r="F105" t="str">
        <f t="shared" ca="1" si="14"/>
        <v>Female</v>
      </c>
      <c r="G105" t="str">
        <f t="shared" ca="1" si="15"/>
        <v>Seoul</v>
      </c>
      <c r="H105" s="1">
        <f t="shared" ca="1" si="16"/>
        <v>34213</v>
      </c>
      <c r="I105" t="str">
        <f t="shared" ca="1" si="17"/>
        <v>Adult</v>
      </c>
    </row>
    <row r="106" spans="1:9" x14ac:dyDescent="0.25">
      <c r="A106" t="str">
        <f t="shared" si="9"/>
        <v>P105</v>
      </c>
      <c r="B106" t="str">
        <f t="shared" ca="1" si="10"/>
        <v>Sarah</v>
      </c>
      <c r="C106" t="str">
        <f t="shared" ca="1" si="11"/>
        <v>Brown</v>
      </c>
      <c r="D106" t="str">
        <f t="shared" ca="1" si="12"/>
        <v>Sarah Brown</v>
      </c>
      <c r="E106">
        <f t="shared" ca="1" si="13"/>
        <v>56</v>
      </c>
      <c r="F106" t="str">
        <f t="shared" ca="1" si="14"/>
        <v>Male</v>
      </c>
      <c r="G106" t="str">
        <f t="shared" ca="1" si="15"/>
        <v>Incheon</v>
      </c>
      <c r="H106" s="1">
        <f t="shared" ca="1" si="16"/>
        <v>25633</v>
      </c>
      <c r="I106" t="str">
        <f t="shared" ca="1" si="17"/>
        <v>Senior</v>
      </c>
    </row>
    <row r="107" spans="1:9" x14ac:dyDescent="0.25">
      <c r="A107" t="str">
        <f t="shared" si="9"/>
        <v>P106</v>
      </c>
      <c r="B107" t="str">
        <f t="shared" ca="1" si="10"/>
        <v>Sophia</v>
      </c>
      <c r="C107" t="str">
        <f t="shared" ca="1" si="11"/>
        <v>Smith</v>
      </c>
      <c r="D107" t="str">
        <f t="shared" ca="1" si="12"/>
        <v>Sophia Smith</v>
      </c>
      <c r="E107">
        <f t="shared" ca="1" si="13"/>
        <v>32</v>
      </c>
      <c r="F107" t="str">
        <f t="shared" ca="1" si="14"/>
        <v>Male</v>
      </c>
      <c r="G107" t="str">
        <f t="shared" ca="1" si="15"/>
        <v>Daejon</v>
      </c>
      <c r="H107" s="1">
        <f t="shared" ca="1" si="16"/>
        <v>34693</v>
      </c>
      <c r="I107" t="str">
        <f t="shared" ca="1" si="17"/>
        <v>Adult</v>
      </c>
    </row>
    <row r="108" spans="1:9" x14ac:dyDescent="0.25">
      <c r="A108" t="str">
        <f t="shared" si="9"/>
        <v>P107</v>
      </c>
      <c r="B108" t="str">
        <f t="shared" ca="1" si="10"/>
        <v>Michael</v>
      </c>
      <c r="C108" t="str">
        <f t="shared" ca="1" si="11"/>
        <v>Martinez</v>
      </c>
      <c r="D108" t="str">
        <f t="shared" ca="1" si="12"/>
        <v>Michael Martinez</v>
      </c>
      <c r="E108">
        <f t="shared" ca="1" si="13"/>
        <v>20</v>
      </c>
      <c r="F108" t="str">
        <f t="shared" ca="1" si="14"/>
        <v>Female</v>
      </c>
      <c r="G108" t="str">
        <f t="shared" ca="1" si="15"/>
        <v>Daegu</v>
      </c>
      <c r="H108" s="1">
        <f t="shared" ca="1" si="16"/>
        <v>38916</v>
      </c>
      <c r="I108" t="str">
        <f t="shared" ca="1" si="17"/>
        <v>Young Adult</v>
      </c>
    </row>
    <row r="109" spans="1:9" x14ac:dyDescent="0.25">
      <c r="A109" t="str">
        <f t="shared" si="9"/>
        <v>P108</v>
      </c>
      <c r="B109" t="str">
        <f t="shared" ca="1" si="10"/>
        <v>Sophia</v>
      </c>
      <c r="C109" t="str">
        <f t="shared" ca="1" si="11"/>
        <v>Smith</v>
      </c>
      <c r="D109" t="str">
        <f t="shared" ca="1" si="12"/>
        <v>Sophia Smith</v>
      </c>
      <c r="E109">
        <f t="shared" ca="1" si="13"/>
        <v>29</v>
      </c>
      <c r="F109" t="str">
        <f t="shared" ca="1" si="14"/>
        <v>Female</v>
      </c>
      <c r="G109" t="str">
        <f t="shared" ca="1" si="15"/>
        <v>Incheon</v>
      </c>
      <c r="H109" s="1">
        <f t="shared" ca="1" si="16"/>
        <v>35531</v>
      </c>
      <c r="I109" t="str">
        <f t="shared" ca="1" si="17"/>
        <v>Young Adult</v>
      </c>
    </row>
    <row r="110" spans="1:9" x14ac:dyDescent="0.25">
      <c r="A110" t="str">
        <f t="shared" si="9"/>
        <v>P109</v>
      </c>
      <c r="B110" t="str">
        <f t="shared" ca="1" si="10"/>
        <v>Olivia</v>
      </c>
      <c r="C110" t="str">
        <f t="shared" ca="1" si="11"/>
        <v>Martinez</v>
      </c>
      <c r="D110" t="str">
        <f t="shared" ca="1" si="12"/>
        <v>Olivia Martinez</v>
      </c>
      <c r="E110">
        <f t="shared" ca="1" si="13"/>
        <v>67</v>
      </c>
      <c r="F110" t="str">
        <f t="shared" ca="1" si="14"/>
        <v>Male</v>
      </c>
      <c r="G110" t="str">
        <f t="shared" ca="1" si="15"/>
        <v>Daegu</v>
      </c>
      <c r="H110" s="1">
        <f t="shared" ca="1" si="16"/>
        <v>21583</v>
      </c>
      <c r="I110" t="str">
        <f t="shared" ca="1" si="17"/>
        <v>Senior</v>
      </c>
    </row>
    <row r="111" spans="1:9" x14ac:dyDescent="0.25">
      <c r="A111" t="str">
        <f t="shared" si="9"/>
        <v>P110</v>
      </c>
      <c r="B111" t="str">
        <f t="shared" ca="1" si="10"/>
        <v>Michael</v>
      </c>
      <c r="C111" t="str">
        <f t="shared" ca="1" si="11"/>
        <v>Smith</v>
      </c>
      <c r="D111" t="str">
        <f t="shared" ca="1" si="12"/>
        <v>Michael Smith</v>
      </c>
      <c r="E111">
        <f t="shared" ca="1" si="13"/>
        <v>32</v>
      </c>
      <c r="F111" t="str">
        <f t="shared" ca="1" si="14"/>
        <v>Female</v>
      </c>
      <c r="G111" t="str">
        <f t="shared" ca="1" si="15"/>
        <v>Daejon</v>
      </c>
      <c r="H111" s="1">
        <f t="shared" ca="1" si="16"/>
        <v>34476</v>
      </c>
      <c r="I111" t="str">
        <f t="shared" ca="1" si="17"/>
        <v>Adult</v>
      </c>
    </row>
    <row r="112" spans="1:9" x14ac:dyDescent="0.25">
      <c r="A112" t="str">
        <f t="shared" si="9"/>
        <v>P111</v>
      </c>
      <c r="B112" t="str">
        <f t="shared" ca="1" si="10"/>
        <v>Sarah</v>
      </c>
      <c r="C112" t="str">
        <f t="shared" ca="1" si="11"/>
        <v>Smith</v>
      </c>
      <c r="D112" t="str">
        <f t="shared" ca="1" si="12"/>
        <v>Sarah Smith</v>
      </c>
      <c r="E112">
        <f t="shared" ca="1" si="13"/>
        <v>26</v>
      </c>
      <c r="F112" t="str">
        <f t="shared" ca="1" si="14"/>
        <v>Male</v>
      </c>
      <c r="G112" t="str">
        <f t="shared" ca="1" si="15"/>
        <v>Daejon</v>
      </c>
      <c r="H112" s="1">
        <f t="shared" ca="1" si="16"/>
        <v>36712</v>
      </c>
      <c r="I112" t="str">
        <f t="shared" ca="1" si="17"/>
        <v>Young Adult</v>
      </c>
    </row>
    <row r="113" spans="1:9" x14ac:dyDescent="0.25">
      <c r="A113" t="str">
        <f t="shared" si="9"/>
        <v>P112</v>
      </c>
      <c r="B113" t="str">
        <f t="shared" ca="1" si="10"/>
        <v>William</v>
      </c>
      <c r="C113" t="str">
        <f t="shared" ca="1" si="11"/>
        <v>Brown</v>
      </c>
      <c r="D113" t="str">
        <f t="shared" ca="1" si="12"/>
        <v>William Brown</v>
      </c>
      <c r="E113">
        <f t="shared" ca="1" si="13"/>
        <v>32</v>
      </c>
      <c r="F113" t="str">
        <f t="shared" ca="1" si="14"/>
        <v>Male</v>
      </c>
      <c r="G113" t="str">
        <f t="shared" ca="1" si="15"/>
        <v>Daegu</v>
      </c>
      <c r="H113" s="1">
        <f t="shared" ca="1" si="16"/>
        <v>34472</v>
      </c>
      <c r="I113" t="str">
        <f t="shared" ca="1" si="17"/>
        <v>Adult</v>
      </c>
    </row>
    <row r="114" spans="1:9" x14ac:dyDescent="0.25">
      <c r="A114" t="str">
        <f t="shared" si="9"/>
        <v>P113</v>
      </c>
      <c r="B114" t="str">
        <f t="shared" ca="1" si="10"/>
        <v>Olivia</v>
      </c>
      <c r="C114" t="str">
        <f t="shared" ca="1" si="11"/>
        <v>Moore</v>
      </c>
      <c r="D114" t="str">
        <f t="shared" ca="1" si="12"/>
        <v>Olivia Moore</v>
      </c>
      <c r="E114">
        <f t="shared" ca="1" si="13"/>
        <v>30</v>
      </c>
      <c r="F114" t="str">
        <f t="shared" ca="1" si="14"/>
        <v>Male</v>
      </c>
      <c r="G114" t="str">
        <f t="shared" ca="1" si="15"/>
        <v>Daejon</v>
      </c>
      <c r="H114" s="1">
        <f t="shared" ca="1" si="16"/>
        <v>35081</v>
      </c>
      <c r="I114" t="str">
        <f t="shared" ca="1" si="17"/>
        <v>Adult</v>
      </c>
    </row>
    <row r="115" spans="1:9" x14ac:dyDescent="0.25">
      <c r="A115" t="str">
        <f t="shared" si="9"/>
        <v>P114</v>
      </c>
      <c r="B115" t="str">
        <f t="shared" ca="1" si="10"/>
        <v>Emily</v>
      </c>
      <c r="C115" t="str">
        <f t="shared" ca="1" si="11"/>
        <v>Garcia</v>
      </c>
      <c r="D115" t="str">
        <f t="shared" ca="1" si="12"/>
        <v>Emily Garcia</v>
      </c>
      <c r="E115">
        <f t="shared" ca="1" si="13"/>
        <v>61</v>
      </c>
      <c r="F115" t="str">
        <f t="shared" ca="1" si="14"/>
        <v>Male</v>
      </c>
      <c r="G115" t="str">
        <f t="shared" ca="1" si="15"/>
        <v>Seoul</v>
      </c>
      <c r="H115" s="1">
        <f t="shared" ca="1" si="16"/>
        <v>24095</v>
      </c>
      <c r="I115" t="str">
        <f t="shared" ca="1" si="17"/>
        <v>Senior</v>
      </c>
    </row>
    <row r="116" spans="1:9" x14ac:dyDescent="0.25">
      <c r="A116" t="str">
        <f t="shared" si="9"/>
        <v>P115</v>
      </c>
      <c r="B116" t="str">
        <f t="shared" ca="1" si="10"/>
        <v>Sophia</v>
      </c>
      <c r="C116" t="str">
        <f t="shared" ca="1" si="11"/>
        <v>Anderson</v>
      </c>
      <c r="D116" t="str">
        <f t="shared" ca="1" si="12"/>
        <v>Sophia Anderson</v>
      </c>
      <c r="E116">
        <f t="shared" ca="1" si="13"/>
        <v>30</v>
      </c>
      <c r="F116" t="str">
        <f t="shared" ca="1" si="14"/>
        <v>Male</v>
      </c>
      <c r="G116" t="str">
        <f t="shared" ca="1" si="15"/>
        <v>Seoul</v>
      </c>
      <c r="H116" s="1">
        <f t="shared" ca="1" si="16"/>
        <v>35385</v>
      </c>
      <c r="I116" t="str">
        <f t="shared" ca="1" si="17"/>
        <v>Adult</v>
      </c>
    </row>
    <row r="117" spans="1:9" x14ac:dyDescent="0.25">
      <c r="A117" t="str">
        <f t="shared" si="9"/>
        <v>P116</v>
      </c>
      <c r="B117" t="str">
        <f t="shared" ca="1" si="10"/>
        <v>William</v>
      </c>
      <c r="C117" t="str">
        <f t="shared" ca="1" si="11"/>
        <v>Brown</v>
      </c>
      <c r="D117" t="str">
        <f t="shared" ca="1" si="12"/>
        <v>William Brown</v>
      </c>
      <c r="E117">
        <f t="shared" ca="1" si="13"/>
        <v>55</v>
      </c>
      <c r="F117" t="str">
        <f t="shared" ca="1" si="14"/>
        <v>Female</v>
      </c>
      <c r="G117" t="str">
        <f t="shared" ca="1" si="15"/>
        <v>Daejon</v>
      </c>
      <c r="H117" s="1">
        <f t="shared" ca="1" si="16"/>
        <v>26199</v>
      </c>
      <c r="I117" t="str">
        <f t="shared" ca="1" si="17"/>
        <v>Senior</v>
      </c>
    </row>
    <row r="118" spans="1:9" x14ac:dyDescent="0.25">
      <c r="A118" t="str">
        <f t="shared" si="9"/>
        <v>P117</v>
      </c>
      <c r="B118" t="str">
        <f t="shared" ca="1" si="10"/>
        <v>James</v>
      </c>
      <c r="C118" t="str">
        <f t="shared" ca="1" si="11"/>
        <v>Anderson</v>
      </c>
      <c r="D118" t="str">
        <f t="shared" ca="1" si="12"/>
        <v>James Anderson</v>
      </c>
      <c r="E118">
        <f t="shared" ca="1" si="13"/>
        <v>67</v>
      </c>
      <c r="F118" t="str">
        <f t="shared" ca="1" si="14"/>
        <v>Female</v>
      </c>
      <c r="G118" t="str">
        <f t="shared" ca="1" si="15"/>
        <v>Busan</v>
      </c>
      <c r="H118" s="1">
        <f t="shared" ca="1" si="16"/>
        <v>21809</v>
      </c>
      <c r="I118" t="str">
        <f t="shared" ca="1" si="17"/>
        <v>Senior</v>
      </c>
    </row>
    <row r="119" spans="1:9" x14ac:dyDescent="0.25">
      <c r="A119" t="str">
        <f t="shared" si="9"/>
        <v>P118</v>
      </c>
      <c r="B119" t="str">
        <f t="shared" ca="1" si="10"/>
        <v>Olivia</v>
      </c>
      <c r="C119" t="str">
        <f t="shared" ca="1" si="11"/>
        <v>Wilson</v>
      </c>
      <c r="D119" t="str">
        <f t="shared" ca="1" si="12"/>
        <v>Olivia Wilson</v>
      </c>
      <c r="E119">
        <f t="shared" ca="1" si="13"/>
        <v>24</v>
      </c>
      <c r="F119" t="str">
        <f t="shared" ca="1" si="14"/>
        <v>Male</v>
      </c>
      <c r="G119" t="str">
        <f t="shared" ca="1" si="15"/>
        <v>Busan</v>
      </c>
      <c r="H119" s="1">
        <f t="shared" ca="1" si="16"/>
        <v>37585</v>
      </c>
      <c r="I119" t="str">
        <f t="shared" ca="1" si="17"/>
        <v>Young Adult</v>
      </c>
    </row>
    <row r="120" spans="1:9" x14ac:dyDescent="0.25">
      <c r="A120" t="str">
        <f t="shared" si="9"/>
        <v>P119</v>
      </c>
      <c r="B120" t="str">
        <f t="shared" ca="1" si="10"/>
        <v>James</v>
      </c>
      <c r="C120" t="str">
        <f t="shared" ca="1" si="11"/>
        <v>Anderson</v>
      </c>
      <c r="D120" t="str">
        <f t="shared" ca="1" si="12"/>
        <v>James Anderson</v>
      </c>
      <c r="E120">
        <f t="shared" ca="1" si="13"/>
        <v>31</v>
      </c>
      <c r="F120" t="str">
        <f t="shared" ca="1" si="14"/>
        <v>Male</v>
      </c>
      <c r="G120" t="str">
        <f t="shared" ca="1" si="15"/>
        <v>Daejon</v>
      </c>
      <c r="H120" s="1">
        <f t="shared" ca="1" si="16"/>
        <v>34981</v>
      </c>
      <c r="I120" t="str">
        <f t="shared" ca="1" si="17"/>
        <v>Adult</v>
      </c>
    </row>
    <row r="121" spans="1:9" x14ac:dyDescent="0.25">
      <c r="A121" t="str">
        <f t="shared" si="9"/>
        <v>P120</v>
      </c>
      <c r="B121" t="str">
        <f t="shared" ca="1" si="10"/>
        <v>James</v>
      </c>
      <c r="C121" t="str">
        <f t="shared" ca="1" si="11"/>
        <v>Garcia</v>
      </c>
      <c r="D121" t="str">
        <f t="shared" ca="1" si="12"/>
        <v>James Garcia</v>
      </c>
      <c r="E121">
        <f t="shared" ca="1" si="13"/>
        <v>44</v>
      </c>
      <c r="F121" t="str">
        <f t="shared" ca="1" si="14"/>
        <v>Female</v>
      </c>
      <c r="G121" t="str">
        <f t="shared" ca="1" si="15"/>
        <v>Seoul</v>
      </c>
      <c r="H121" s="1">
        <f t="shared" ca="1" si="16"/>
        <v>30141</v>
      </c>
      <c r="I121" t="str">
        <f t="shared" ca="1" si="17"/>
        <v>Adult</v>
      </c>
    </row>
    <row r="122" spans="1:9" x14ac:dyDescent="0.25">
      <c r="A122" t="str">
        <f t="shared" si="9"/>
        <v>P121</v>
      </c>
      <c r="B122" t="str">
        <f t="shared" ca="1" si="10"/>
        <v>Emily</v>
      </c>
      <c r="C122" t="str">
        <f t="shared" ca="1" si="11"/>
        <v>Martinez</v>
      </c>
      <c r="D122" t="str">
        <f t="shared" ca="1" si="12"/>
        <v>Emily Martinez</v>
      </c>
      <c r="E122">
        <f t="shared" ca="1" si="13"/>
        <v>64</v>
      </c>
      <c r="F122" t="str">
        <f t="shared" ca="1" si="14"/>
        <v>Female</v>
      </c>
      <c r="G122" t="str">
        <f t="shared" ca="1" si="15"/>
        <v>Daejon</v>
      </c>
      <c r="H122" s="1">
        <f t="shared" ca="1" si="16"/>
        <v>22891</v>
      </c>
      <c r="I122" t="str">
        <f t="shared" ca="1" si="17"/>
        <v>Senior</v>
      </c>
    </row>
    <row r="123" spans="1:9" x14ac:dyDescent="0.25">
      <c r="A123" t="str">
        <f t="shared" si="9"/>
        <v>P122</v>
      </c>
      <c r="B123" t="str">
        <f t="shared" ca="1" si="10"/>
        <v>James</v>
      </c>
      <c r="C123" t="str">
        <f t="shared" ca="1" si="11"/>
        <v>Davis</v>
      </c>
      <c r="D123" t="str">
        <f t="shared" ca="1" si="12"/>
        <v>James Davis</v>
      </c>
      <c r="E123">
        <f t="shared" ca="1" si="13"/>
        <v>46</v>
      </c>
      <c r="F123" t="str">
        <f t="shared" ca="1" si="14"/>
        <v>Female</v>
      </c>
      <c r="G123" t="str">
        <f t="shared" ca="1" si="15"/>
        <v>Seoul</v>
      </c>
      <c r="H123" s="1">
        <f t="shared" ca="1" si="16"/>
        <v>29437</v>
      </c>
      <c r="I123" t="str">
        <f t="shared" ca="1" si="17"/>
        <v>Adult</v>
      </c>
    </row>
    <row r="124" spans="1:9" x14ac:dyDescent="0.25">
      <c r="A124" t="str">
        <f t="shared" si="9"/>
        <v>P123</v>
      </c>
      <c r="B124" t="str">
        <f t="shared" ca="1" si="10"/>
        <v>Michael</v>
      </c>
      <c r="C124" t="str">
        <f t="shared" ca="1" si="11"/>
        <v>Smith</v>
      </c>
      <c r="D124" t="str">
        <f t="shared" ca="1" si="12"/>
        <v>Michael Smith</v>
      </c>
      <c r="E124">
        <f t="shared" ca="1" si="13"/>
        <v>61</v>
      </c>
      <c r="F124" t="str">
        <f t="shared" ca="1" si="14"/>
        <v>Male</v>
      </c>
      <c r="G124" t="str">
        <f t="shared" ca="1" si="15"/>
        <v>Incheon</v>
      </c>
      <c r="H124" s="1">
        <f t="shared" ca="1" si="16"/>
        <v>24002</v>
      </c>
      <c r="I124" t="str">
        <f t="shared" ca="1" si="17"/>
        <v>Senior</v>
      </c>
    </row>
    <row r="125" spans="1:9" x14ac:dyDescent="0.25">
      <c r="A125" t="str">
        <f t="shared" si="9"/>
        <v>P124</v>
      </c>
      <c r="B125" t="str">
        <f t="shared" ca="1" si="10"/>
        <v>Emily</v>
      </c>
      <c r="C125" t="str">
        <f t="shared" ca="1" si="11"/>
        <v>Taylor</v>
      </c>
      <c r="D125" t="str">
        <f t="shared" ca="1" si="12"/>
        <v>Emily Taylor</v>
      </c>
      <c r="E125">
        <f t="shared" ca="1" si="13"/>
        <v>41</v>
      </c>
      <c r="F125" t="str">
        <f t="shared" ca="1" si="14"/>
        <v>Female</v>
      </c>
      <c r="G125" t="str">
        <f t="shared" ca="1" si="15"/>
        <v>Seoul</v>
      </c>
      <c r="H125" s="1">
        <f t="shared" ca="1" si="16"/>
        <v>31283</v>
      </c>
      <c r="I125" t="str">
        <f t="shared" ca="1" si="17"/>
        <v>Adult</v>
      </c>
    </row>
    <row r="126" spans="1:9" x14ac:dyDescent="0.25">
      <c r="A126" t="str">
        <f t="shared" si="9"/>
        <v>P125</v>
      </c>
      <c r="B126" t="str">
        <f t="shared" ca="1" si="10"/>
        <v>Sophia</v>
      </c>
      <c r="C126" t="str">
        <f t="shared" ca="1" si="11"/>
        <v>Smith</v>
      </c>
      <c r="D126" t="str">
        <f t="shared" ca="1" si="12"/>
        <v>Sophia Smith</v>
      </c>
      <c r="E126">
        <f t="shared" ca="1" si="13"/>
        <v>53</v>
      </c>
      <c r="F126" t="str">
        <f t="shared" ca="1" si="14"/>
        <v>Male</v>
      </c>
      <c r="G126" t="str">
        <f t="shared" ca="1" si="15"/>
        <v>Daegu</v>
      </c>
      <c r="H126" s="1">
        <f t="shared" ca="1" si="16"/>
        <v>26737</v>
      </c>
      <c r="I126" t="str">
        <f t="shared" ca="1" si="17"/>
        <v>Senior</v>
      </c>
    </row>
    <row r="127" spans="1:9" x14ac:dyDescent="0.25">
      <c r="A127" t="str">
        <f t="shared" si="9"/>
        <v>P126</v>
      </c>
      <c r="B127" t="str">
        <f t="shared" ca="1" si="10"/>
        <v>Michael</v>
      </c>
      <c r="C127" t="str">
        <f t="shared" ca="1" si="11"/>
        <v>Smith</v>
      </c>
      <c r="D127" t="str">
        <f t="shared" ca="1" si="12"/>
        <v>Michael Smith</v>
      </c>
      <c r="E127">
        <f t="shared" ca="1" si="13"/>
        <v>34</v>
      </c>
      <c r="F127" t="str">
        <f t="shared" ca="1" si="14"/>
        <v>Female</v>
      </c>
      <c r="G127" t="str">
        <f t="shared" ca="1" si="15"/>
        <v>Busan</v>
      </c>
      <c r="H127" s="1">
        <f t="shared" ca="1" si="16"/>
        <v>33807</v>
      </c>
      <c r="I127" t="str">
        <f t="shared" ca="1" si="17"/>
        <v>Adult</v>
      </c>
    </row>
    <row r="128" spans="1:9" x14ac:dyDescent="0.25">
      <c r="A128" t="str">
        <f t="shared" si="9"/>
        <v>P127</v>
      </c>
      <c r="B128" t="str">
        <f t="shared" ca="1" si="10"/>
        <v>Sarah</v>
      </c>
      <c r="C128" t="str">
        <f t="shared" ca="1" si="11"/>
        <v>Brown</v>
      </c>
      <c r="D128" t="str">
        <f t="shared" ca="1" si="12"/>
        <v>Sarah Brown</v>
      </c>
      <c r="E128">
        <f t="shared" ca="1" si="13"/>
        <v>24</v>
      </c>
      <c r="F128" t="str">
        <f t="shared" ca="1" si="14"/>
        <v>Female</v>
      </c>
      <c r="G128" t="str">
        <f t="shared" ca="1" si="15"/>
        <v>Seoul</v>
      </c>
      <c r="H128" s="1">
        <f t="shared" ca="1" si="16"/>
        <v>37460</v>
      </c>
      <c r="I128" t="str">
        <f t="shared" ca="1" si="17"/>
        <v>Young Adult</v>
      </c>
    </row>
    <row r="129" spans="1:9" x14ac:dyDescent="0.25">
      <c r="A129" t="str">
        <f t="shared" si="9"/>
        <v>P128</v>
      </c>
      <c r="B129" t="str">
        <f t="shared" ca="1" si="10"/>
        <v>Sophia</v>
      </c>
      <c r="C129" t="str">
        <f t="shared" ca="1" si="11"/>
        <v>Wilson</v>
      </c>
      <c r="D129" t="str">
        <f t="shared" ca="1" si="12"/>
        <v>Sophia Wilson</v>
      </c>
      <c r="E129">
        <f t="shared" ca="1" si="13"/>
        <v>50</v>
      </c>
      <c r="F129" t="str">
        <f t="shared" ca="1" si="14"/>
        <v>Female</v>
      </c>
      <c r="G129" t="str">
        <f t="shared" ca="1" si="15"/>
        <v>Busan</v>
      </c>
      <c r="H129" s="1">
        <f t="shared" ca="1" si="16"/>
        <v>28069</v>
      </c>
      <c r="I129" t="str">
        <f t="shared" ca="1" si="17"/>
        <v>Senior</v>
      </c>
    </row>
    <row r="130" spans="1:9" x14ac:dyDescent="0.25">
      <c r="A130" t="str">
        <f t="shared" si="9"/>
        <v>P129</v>
      </c>
      <c r="B130" t="str">
        <f t="shared" ca="1" si="10"/>
        <v>David</v>
      </c>
      <c r="C130" t="str">
        <f t="shared" ca="1" si="11"/>
        <v>Martinez</v>
      </c>
      <c r="D130" t="str">
        <f t="shared" ca="1" si="12"/>
        <v>David Martinez</v>
      </c>
      <c r="E130">
        <f t="shared" ca="1" si="13"/>
        <v>48</v>
      </c>
      <c r="F130" t="str">
        <f t="shared" ca="1" si="14"/>
        <v>Male</v>
      </c>
      <c r="G130" t="str">
        <f t="shared" ca="1" si="15"/>
        <v>Incheon</v>
      </c>
      <c r="H130" s="1">
        <f t="shared" ca="1" si="16"/>
        <v>28712</v>
      </c>
      <c r="I130" t="str">
        <f t="shared" ca="1" si="17"/>
        <v>Adult</v>
      </c>
    </row>
    <row r="131" spans="1:9" x14ac:dyDescent="0.25">
      <c r="A131" t="str">
        <f t="shared" si="9"/>
        <v>P130</v>
      </c>
      <c r="B131" t="str">
        <f t="shared" ca="1" si="10"/>
        <v>William</v>
      </c>
      <c r="C131" t="str">
        <f t="shared" ca="1" si="11"/>
        <v>Wilson</v>
      </c>
      <c r="D131" t="str">
        <f t="shared" ca="1" si="12"/>
        <v>William Wilson</v>
      </c>
      <c r="E131">
        <f t="shared" ca="1" si="13"/>
        <v>57</v>
      </c>
      <c r="F131" t="str">
        <f t="shared" ca="1" si="14"/>
        <v>Male</v>
      </c>
      <c r="G131" t="str">
        <f t="shared" ca="1" si="15"/>
        <v>Daegu</v>
      </c>
      <c r="H131" s="1">
        <f t="shared" ca="1" si="16"/>
        <v>25509</v>
      </c>
      <c r="I131" t="str">
        <f t="shared" ca="1" si="17"/>
        <v>Senior</v>
      </c>
    </row>
    <row r="132" spans="1:9" x14ac:dyDescent="0.25">
      <c r="A132" t="str">
        <f t="shared" ref="A132:A195" si="18">"P"&amp;TEXT(ROW(A131),"000")</f>
        <v>P131</v>
      </c>
      <c r="B132" t="str">
        <f t="shared" ref="B132:B195" ca="1" si="19">CHOOSE(RANDBETWEEN(1,10),"James","Maria","David","Sarah","Michael","Emily","Daniel","Olivia","William","Sophia")</f>
        <v>Olivia</v>
      </c>
      <c r="C132" t="str">
        <f t="shared" ref="C132:C195" ca="1" si="20">CHOOSE(RANDBETWEEN(1,10),"Anderson","Garcia","Martinez","Johnson","Smith","Davis","Wilson","Brown","Taylor","Moore")</f>
        <v>Brown</v>
      </c>
      <c r="D132" t="str">
        <f t="shared" ref="D132:D195" ca="1" si="21">B132&amp;" "&amp;C132</f>
        <v>Olivia Brown</v>
      </c>
      <c r="E132">
        <f t="shared" ref="E132:E195" ca="1" si="22">RANDBETWEEN(20,70)</f>
        <v>35</v>
      </c>
      <c r="F132" t="str">
        <f t="shared" ref="F132:F195" ca="1" si="23">IF(RANDBETWEEN(0,1)=0, "Male","Female")</f>
        <v>Male</v>
      </c>
      <c r="G132" t="str">
        <f t="shared" ref="G132:G195" ca="1" si="24">CHOOSE(RANDBETWEEN(1,5),"Seoul","Busan","Incheon","Daegu","Daejon")</f>
        <v>Incheon</v>
      </c>
      <c r="H132" s="1">
        <f t="shared" ref="H132:H195" ca="1" si="25">DATE(2026 - E132,RANDBETWEEN(1,12),RANDBETWEEN(1,28))</f>
        <v>33247</v>
      </c>
      <c r="I132" t="str">
        <f t="shared" ref="I132:I195" ca="1" si="26">IF(E132&lt;30,"Young Adult",IF(E132&lt;50,"Adult","Senior"))</f>
        <v>Adult</v>
      </c>
    </row>
    <row r="133" spans="1:9" x14ac:dyDescent="0.25">
      <c r="A133" t="str">
        <f t="shared" si="18"/>
        <v>P132</v>
      </c>
      <c r="B133" t="str">
        <f t="shared" ca="1" si="19"/>
        <v>Emily</v>
      </c>
      <c r="C133" t="str">
        <f t="shared" ca="1" si="20"/>
        <v>Garcia</v>
      </c>
      <c r="D133" t="str">
        <f t="shared" ca="1" si="21"/>
        <v>Emily Garcia</v>
      </c>
      <c r="E133">
        <f t="shared" ca="1" si="22"/>
        <v>33</v>
      </c>
      <c r="F133" t="str">
        <f t="shared" ca="1" si="23"/>
        <v>Female</v>
      </c>
      <c r="G133" t="str">
        <f t="shared" ca="1" si="24"/>
        <v>Daegu</v>
      </c>
      <c r="H133" s="1">
        <f t="shared" ca="1" si="25"/>
        <v>34195</v>
      </c>
      <c r="I133" t="str">
        <f t="shared" ca="1" si="26"/>
        <v>Adult</v>
      </c>
    </row>
    <row r="134" spans="1:9" x14ac:dyDescent="0.25">
      <c r="A134" t="str">
        <f t="shared" si="18"/>
        <v>P133</v>
      </c>
      <c r="B134" t="str">
        <f t="shared" ca="1" si="19"/>
        <v>William</v>
      </c>
      <c r="C134" t="str">
        <f t="shared" ca="1" si="20"/>
        <v>Taylor</v>
      </c>
      <c r="D134" t="str">
        <f t="shared" ca="1" si="21"/>
        <v>William Taylor</v>
      </c>
      <c r="E134">
        <f t="shared" ca="1" si="22"/>
        <v>27</v>
      </c>
      <c r="F134" t="str">
        <f t="shared" ca="1" si="23"/>
        <v>Male</v>
      </c>
      <c r="G134" t="str">
        <f t="shared" ca="1" si="24"/>
        <v>Daejon</v>
      </c>
      <c r="H134" s="1">
        <f t="shared" ca="1" si="25"/>
        <v>36212</v>
      </c>
      <c r="I134" t="str">
        <f t="shared" ca="1" si="26"/>
        <v>Young Adult</v>
      </c>
    </row>
    <row r="135" spans="1:9" x14ac:dyDescent="0.25">
      <c r="A135" t="str">
        <f t="shared" si="18"/>
        <v>P134</v>
      </c>
      <c r="B135" t="str">
        <f t="shared" ca="1" si="19"/>
        <v>Michael</v>
      </c>
      <c r="C135" t="str">
        <f t="shared" ca="1" si="20"/>
        <v>Taylor</v>
      </c>
      <c r="D135" t="str">
        <f t="shared" ca="1" si="21"/>
        <v>Michael Taylor</v>
      </c>
      <c r="E135">
        <f t="shared" ca="1" si="22"/>
        <v>28</v>
      </c>
      <c r="F135" t="str">
        <f t="shared" ca="1" si="23"/>
        <v>Male</v>
      </c>
      <c r="G135" t="str">
        <f t="shared" ca="1" si="24"/>
        <v>Daegu</v>
      </c>
      <c r="H135" s="1">
        <f t="shared" ca="1" si="25"/>
        <v>35840</v>
      </c>
      <c r="I135" t="str">
        <f t="shared" ca="1" si="26"/>
        <v>Young Adult</v>
      </c>
    </row>
    <row r="136" spans="1:9" x14ac:dyDescent="0.25">
      <c r="A136" t="str">
        <f t="shared" si="18"/>
        <v>P135</v>
      </c>
      <c r="B136" t="str">
        <f t="shared" ca="1" si="19"/>
        <v>Olivia</v>
      </c>
      <c r="C136" t="str">
        <f t="shared" ca="1" si="20"/>
        <v>Martinez</v>
      </c>
      <c r="D136" t="str">
        <f t="shared" ca="1" si="21"/>
        <v>Olivia Martinez</v>
      </c>
      <c r="E136">
        <f t="shared" ca="1" si="22"/>
        <v>52</v>
      </c>
      <c r="F136" t="str">
        <f t="shared" ca="1" si="23"/>
        <v>Male</v>
      </c>
      <c r="G136" t="str">
        <f t="shared" ca="1" si="24"/>
        <v>Seoul</v>
      </c>
      <c r="H136" s="1">
        <f t="shared" ca="1" si="25"/>
        <v>27285</v>
      </c>
      <c r="I136" t="str">
        <f t="shared" ca="1" si="26"/>
        <v>Senior</v>
      </c>
    </row>
    <row r="137" spans="1:9" x14ac:dyDescent="0.25">
      <c r="A137" t="str">
        <f t="shared" si="18"/>
        <v>P136</v>
      </c>
      <c r="B137" t="str">
        <f t="shared" ca="1" si="19"/>
        <v>Sophia</v>
      </c>
      <c r="C137" t="str">
        <f t="shared" ca="1" si="20"/>
        <v>Moore</v>
      </c>
      <c r="D137" t="str">
        <f t="shared" ca="1" si="21"/>
        <v>Sophia Moore</v>
      </c>
      <c r="E137">
        <f t="shared" ca="1" si="22"/>
        <v>29</v>
      </c>
      <c r="F137" t="str">
        <f t="shared" ca="1" si="23"/>
        <v>Female</v>
      </c>
      <c r="G137" t="str">
        <f t="shared" ca="1" si="24"/>
        <v>Daegu</v>
      </c>
      <c r="H137" s="1">
        <f t="shared" ca="1" si="25"/>
        <v>35502</v>
      </c>
      <c r="I137" t="str">
        <f t="shared" ca="1" si="26"/>
        <v>Young Adult</v>
      </c>
    </row>
    <row r="138" spans="1:9" x14ac:dyDescent="0.25">
      <c r="A138" t="str">
        <f t="shared" si="18"/>
        <v>P137</v>
      </c>
      <c r="B138" t="str">
        <f t="shared" ca="1" si="19"/>
        <v>Sophia</v>
      </c>
      <c r="C138" t="str">
        <f t="shared" ca="1" si="20"/>
        <v>Anderson</v>
      </c>
      <c r="D138" t="str">
        <f t="shared" ca="1" si="21"/>
        <v>Sophia Anderson</v>
      </c>
      <c r="E138">
        <f t="shared" ca="1" si="22"/>
        <v>64</v>
      </c>
      <c r="F138" t="str">
        <f t="shared" ca="1" si="23"/>
        <v>Female</v>
      </c>
      <c r="G138" t="str">
        <f t="shared" ca="1" si="24"/>
        <v>Daegu</v>
      </c>
      <c r="H138" s="1">
        <f t="shared" ca="1" si="25"/>
        <v>22892</v>
      </c>
      <c r="I138" t="str">
        <f t="shared" ca="1" si="26"/>
        <v>Senior</v>
      </c>
    </row>
    <row r="139" spans="1:9" x14ac:dyDescent="0.25">
      <c r="A139" t="str">
        <f t="shared" si="18"/>
        <v>P138</v>
      </c>
      <c r="B139" t="str">
        <f t="shared" ca="1" si="19"/>
        <v>Sarah</v>
      </c>
      <c r="C139" t="str">
        <f t="shared" ca="1" si="20"/>
        <v>Brown</v>
      </c>
      <c r="D139" t="str">
        <f t="shared" ca="1" si="21"/>
        <v>Sarah Brown</v>
      </c>
      <c r="E139">
        <f t="shared" ca="1" si="22"/>
        <v>66</v>
      </c>
      <c r="F139" t="str">
        <f t="shared" ca="1" si="23"/>
        <v>Female</v>
      </c>
      <c r="G139" t="str">
        <f t="shared" ca="1" si="24"/>
        <v>Daejon</v>
      </c>
      <c r="H139" s="1">
        <f t="shared" ca="1" si="25"/>
        <v>22276</v>
      </c>
      <c r="I139" t="str">
        <f t="shared" ca="1" si="26"/>
        <v>Senior</v>
      </c>
    </row>
    <row r="140" spans="1:9" x14ac:dyDescent="0.25">
      <c r="A140" t="str">
        <f t="shared" si="18"/>
        <v>P139</v>
      </c>
      <c r="B140" t="str">
        <f t="shared" ca="1" si="19"/>
        <v>James</v>
      </c>
      <c r="C140" t="str">
        <f t="shared" ca="1" si="20"/>
        <v>Moore</v>
      </c>
      <c r="D140" t="str">
        <f t="shared" ca="1" si="21"/>
        <v>James Moore</v>
      </c>
      <c r="E140">
        <f t="shared" ca="1" si="22"/>
        <v>31</v>
      </c>
      <c r="F140" t="str">
        <f t="shared" ca="1" si="23"/>
        <v>Male</v>
      </c>
      <c r="G140" t="str">
        <f t="shared" ca="1" si="24"/>
        <v>Daegu</v>
      </c>
      <c r="H140" s="1">
        <f t="shared" ca="1" si="25"/>
        <v>34753</v>
      </c>
      <c r="I140" t="str">
        <f t="shared" ca="1" si="26"/>
        <v>Adult</v>
      </c>
    </row>
    <row r="141" spans="1:9" x14ac:dyDescent="0.25">
      <c r="A141" t="str">
        <f t="shared" si="18"/>
        <v>P140</v>
      </c>
      <c r="B141" t="str">
        <f t="shared" ca="1" si="19"/>
        <v>James</v>
      </c>
      <c r="C141" t="str">
        <f t="shared" ca="1" si="20"/>
        <v>Moore</v>
      </c>
      <c r="D141" t="str">
        <f t="shared" ca="1" si="21"/>
        <v>James Moore</v>
      </c>
      <c r="E141">
        <f t="shared" ca="1" si="22"/>
        <v>34</v>
      </c>
      <c r="F141" t="str">
        <f t="shared" ca="1" si="23"/>
        <v>Female</v>
      </c>
      <c r="G141" t="str">
        <f t="shared" ca="1" si="24"/>
        <v>Busan</v>
      </c>
      <c r="H141" s="1">
        <f t="shared" ca="1" si="25"/>
        <v>33964</v>
      </c>
      <c r="I141" t="str">
        <f t="shared" ca="1" si="26"/>
        <v>Adult</v>
      </c>
    </row>
    <row r="142" spans="1:9" x14ac:dyDescent="0.25">
      <c r="A142" t="str">
        <f t="shared" si="18"/>
        <v>P141</v>
      </c>
      <c r="B142" t="str">
        <f t="shared" ca="1" si="19"/>
        <v>Maria</v>
      </c>
      <c r="C142" t="str">
        <f t="shared" ca="1" si="20"/>
        <v>Anderson</v>
      </c>
      <c r="D142" t="str">
        <f t="shared" ca="1" si="21"/>
        <v>Maria Anderson</v>
      </c>
      <c r="E142">
        <f t="shared" ca="1" si="22"/>
        <v>33</v>
      </c>
      <c r="F142" t="str">
        <f t="shared" ca="1" si="23"/>
        <v>Male</v>
      </c>
      <c r="G142" t="str">
        <f t="shared" ca="1" si="24"/>
        <v>Busan</v>
      </c>
      <c r="H142" s="1">
        <f t="shared" ca="1" si="25"/>
        <v>34020</v>
      </c>
      <c r="I142" t="str">
        <f t="shared" ca="1" si="26"/>
        <v>Adult</v>
      </c>
    </row>
    <row r="143" spans="1:9" x14ac:dyDescent="0.25">
      <c r="A143" t="str">
        <f t="shared" si="18"/>
        <v>P142</v>
      </c>
      <c r="B143" t="str">
        <f t="shared" ca="1" si="19"/>
        <v>Michael</v>
      </c>
      <c r="C143" t="str">
        <f t="shared" ca="1" si="20"/>
        <v>Garcia</v>
      </c>
      <c r="D143" t="str">
        <f t="shared" ca="1" si="21"/>
        <v>Michael Garcia</v>
      </c>
      <c r="E143">
        <f t="shared" ca="1" si="22"/>
        <v>20</v>
      </c>
      <c r="F143" t="str">
        <f t="shared" ca="1" si="23"/>
        <v>Female</v>
      </c>
      <c r="G143" t="str">
        <f t="shared" ca="1" si="24"/>
        <v>Seoul</v>
      </c>
      <c r="H143" s="1">
        <f t="shared" ca="1" si="25"/>
        <v>38979</v>
      </c>
      <c r="I143" t="str">
        <f t="shared" ca="1" si="26"/>
        <v>Young Adult</v>
      </c>
    </row>
    <row r="144" spans="1:9" x14ac:dyDescent="0.25">
      <c r="A144" t="str">
        <f t="shared" si="18"/>
        <v>P143</v>
      </c>
      <c r="B144" t="str">
        <f t="shared" ca="1" si="19"/>
        <v>Olivia</v>
      </c>
      <c r="C144" t="str">
        <f t="shared" ca="1" si="20"/>
        <v>Johnson</v>
      </c>
      <c r="D144" t="str">
        <f t="shared" ca="1" si="21"/>
        <v>Olivia Johnson</v>
      </c>
      <c r="E144">
        <f t="shared" ca="1" si="22"/>
        <v>66</v>
      </c>
      <c r="F144" t="str">
        <f t="shared" ca="1" si="23"/>
        <v>Male</v>
      </c>
      <c r="G144" t="str">
        <f t="shared" ca="1" si="24"/>
        <v>Seoul</v>
      </c>
      <c r="H144" s="1">
        <f t="shared" ca="1" si="25"/>
        <v>21963</v>
      </c>
      <c r="I144" t="str">
        <f t="shared" ca="1" si="26"/>
        <v>Senior</v>
      </c>
    </row>
    <row r="145" spans="1:9" x14ac:dyDescent="0.25">
      <c r="A145" t="str">
        <f t="shared" si="18"/>
        <v>P144</v>
      </c>
      <c r="B145" t="str">
        <f t="shared" ca="1" si="19"/>
        <v>Sophia</v>
      </c>
      <c r="C145" t="str">
        <f t="shared" ca="1" si="20"/>
        <v>Smith</v>
      </c>
      <c r="D145" t="str">
        <f t="shared" ca="1" si="21"/>
        <v>Sophia Smith</v>
      </c>
      <c r="E145">
        <f t="shared" ca="1" si="22"/>
        <v>23</v>
      </c>
      <c r="F145" t="str">
        <f t="shared" ca="1" si="23"/>
        <v>Female</v>
      </c>
      <c r="G145" t="str">
        <f t="shared" ca="1" si="24"/>
        <v>Seoul</v>
      </c>
      <c r="H145" s="1">
        <f t="shared" ca="1" si="25"/>
        <v>37934</v>
      </c>
      <c r="I145" t="str">
        <f t="shared" ca="1" si="26"/>
        <v>Young Adult</v>
      </c>
    </row>
    <row r="146" spans="1:9" x14ac:dyDescent="0.25">
      <c r="A146" t="str">
        <f t="shared" si="18"/>
        <v>P145</v>
      </c>
      <c r="B146" t="str">
        <f t="shared" ca="1" si="19"/>
        <v>Maria</v>
      </c>
      <c r="C146" t="str">
        <f t="shared" ca="1" si="20"/>
        <v>Brown</v>
      </c>
      <c r="D146" t="str">
        <f t="shared" ca="1" si="21"/>
        <v>Maria Brown</v>
      </c>
      <c r="E146">
        <f t="shared" ca="1" si="22"/>
        <v>45</v>
      </c>
      <c r="F146" t="str">
        <f t="shared" ca="1" si="23"/>
        <v>Male</v>
      </c>
      <c r="G146" t="str">
        <f t="shared" ca="1" si="24"/>
        <v>Daejon</v>
      </c>
      <c r="H146" s="1">
        <f t="shared" ca="1" si="25"/>
        <v>29712</v>
      </c>
      <c r="I146" t="str">
        <f t="shared" ca="1" si="26"/>
        <v>Adult</v>
      </c>
    </row>
    <row r="147" spans="1:9" x14ac:dyDescent="0.25">
      <c r="A147" t="str">
        <f t="shared" si="18"/>
        <v>P146</v>
      </c>
      <c r="B147" t="str">
        <f t="shared" ca="1" si="19"/>
        <v>David</v>
      </c>
      <c r="C147" t="str">
        <f t="shared" ca="1" si="20"/>
        <v>Johnson</v>
      </c>
      <c r="D147" t="str">
        <f t="shared" ca="1" si="21"/>
        <v>David Johnson</v>
      </c>
      <c r="E147">
        <f t="shared" ca="1" si="22"/>
        <v>25</v>
      </c>
      <c r="F147" t="str">
        <f t="shared" ca="1" si="23"/>
        <v>Male</v>
      </c>
      <c r="G147" t="str">
        <f t="shared" ca="1" si="24"/>
        <v>Incheon</v>
      </c>
      <c r="H147" s="1">
        <f t="shared" ca="1" si="25"/>
        <v>36917</v>
      </c>
      <c r="I147" t="str">
        <f t="shared" ca="1" si="26"/>
        <v>Young Adult</v>
      </c>
    </row>
    <row r="148" spans="1:9" x14ac:dyDescent="0.25">
      <c r="A148" t="str">
        <f t="shared" si="18"/>
        <v>P147</v>
      </c>
      <c r="B148" t="str">
        <f t="shared" ca="1" si="19"/>
        <v>Sarah</v>
      </c>
      <c r="C148" t="str">
        <f t="shared" ca="1" si="20"/>
        <v>Anderson</v>
      </c>
      <c r="D148" t="str">
        <f t="shared" ca="1" si="21"/>
        <v>Sarah Anderson</v>
      </c>
      <c r="E148">
        <f t="shared" ca="1" si="22"/>
        <v>58</v>
      </c>
      <c r="F148" t="str">
        <f t="shared" ca="1" si="23"/>
        <v>Female</v>
      </c>
      <c r="G148" t="str">
        <f t="shared" ca="1" si="24"/>
        <v>Busan</v>
      </c>
      <c r="H148" s="1">
        <f t="shared" ca="1" si="25"/>
        <v>25045</v>
      </c>
      <c r="I148" t="str">
        <f t="shared" ca="1" si="26"/>
        <v>Senior</v>
      </c>
    </row>
    <row r="149" spans="1:9" x14ac:dyDescent="0.25">
      <c r="A149" t="str">
        <f t="shared" si="18"/>
        <v>P148</v>
      </c>
      <c r="B149" t="str">
        <f t="shared" ca="1" si="19"/>
        <v>Emily</v>
      </c>
      <c r="C149" t="str">
        <f t="shared" ca="1" si="20"/>
        <v>Garcia</v>
      </c>
      <c r="D149" t="str">
        <f t="shared" ca="1" si="21"/>
        <v>Emily Garcia</v>
      </c>
      <c r="E149">
        <f t="shared" ca="1" si="22"/>
        <v>63</v>
      </c>
      <c r="F149" t="str">
        <f t="shared" ca="1" si="23"/>
        <v>Female</v>
      </c>
      <c r="G149" t="str">
        <f t="shared" ca="1" si="24"/>
        <v>Daejon</v>
      </c>
      <c r="H149" s="1">
        <f t="shared" ca="1" si="25"/>
        <v>23038</v>
      </c>
      <c r="I149" t="str">
        <f t="shared" ca="1" si="26"/>
        <v>Senior</v>
      </c>
    </row>
    <row r="150" spans="1:9" x14ac:dyDescent="0.25">
      <c r="A150" t="str">
        <f t="shared" si="18"/>
        <v>P149</v>
      </c>
      <c r="B150" t="str">
        <f t="shared" ca="1" si="19"/>
        <v>Emily</v>
      </c>
      <c r="C150" t="str">
        <f t="shared" ca="1" si="20"/>
        <v>Wilson</v>
      </c>
      <c r="D150" t="str">
        <f t="shared" ca="1" si="21"/>
        <v>Emily Wilson</v>
      </c>
      <c r="E150">
        <f t="shared" ca="1" si="22"/>
        <v>47</v>
      </c>
      <c r="F150" t="str">
        <f t="shared" ca="1" si="23"/>
        <v>Female</v>
      </c>
      <c r="G150" t="str">
        <f t="shared" ca="1" si="24"/>
        <v>Incheon</v>
      </c>
      <c r="H150" s="1">
        <f t="shared" ca="1" si="25"/>
        <v>29028</v>
      </c>
      <c r="I150" t="str">
        <f t="shared" ca="1" si="26"/>
        <v>Adult</v>
      </c>
    </row>
    <row r="151" spans="1:9" x14ac:dyDescent="0.25">
      <c r="A151" t="str">
        <f t="shared" si="18"/>
        <v>P150</v>
      </c>
      <c r="B151" t="str">
        <f t="shared" ca="1" si="19"/>
        <v>Michael</v>
      </c>
      <c r="C151" t="str">
        <f t="shared" ca="1" si="20"/>
        <v>Smith</v>
      </c>
      <c r="D151" t="str">
        <f t="shared" ca="1" si="21"/>
        <v>Michael Smith</v>
      </c>
      <c r="E151">
        <f t="shared" ca="1" si="22"/>
        <v>64</v>
      </c>
      <c r="F151" t="str">
        <f t="shared" ca="1" si="23"/>
        <v>Female</v>
      </c>
      <c r="G151" t="str">
        <f t="shared" ca="1" si="24"/>
        <v>Seoul</v>
      </c>
      <c r="H151" s="1">
        <f t="shared" ca="1" si="25"/>
        <v>22782</v>
      </c>
      <c r="I151" t="str">
        <f t="shared" ca="1" si="26"/>
        <v>Senior</v>
      </c>
    </row>
    <row r="152" spans="1:9" x14ac:dyDescent="0.25">
      <c r="A152" t="str">
        <f t="shared" si="18"/>
        <v>P151</v>
      </c>
      <c r="B152" t="str">
        <f t="shared" ca="1" si="19"/>
        <v>James</v>
      </c>
      <c r="C152" t="str">
        <f t="shared" ca="1" si="20"/>
        <v>Martinez</v>
      </c>
      <c r="D152" t="str">
        <f t="shared" ca="1" si="21"/>
        <v>James Martinez</v>
      </c>
      <c r="E152">
        <f t="shared" ca="1" si="22"/>
        <v>27</v>
      </c>
      <c r="F152" t="str">
        <f t="shared" ca="1" si="23"/>
        <v>Female</v>
      </c>
      <c r="G152" t="str">
        <f t="shared" ca="1" si="24"/>
        <v>Seoul</v>
      </c>
      <c r="H152" s="1">
        <f t="shared" ca="1" si="25"/>
        <v>36363</v>
      </c>
      <c r="I152" t="str">
        <f t="shared" ca="1" si="26"/>
        <v>Young Adult</v>
      </c>
    </row>
    <row r="153" spans="1:9" x14ac:dyDescent="0.25">
      <c r="A153" t="str">
        <f t="shared" si="18"/>
        <v>P152</v>
      </c>
      <c r="B153" t="str">
        <f t="shared" ca="1" si="19"/>
        <v>Emily</v>
      </c>
      <c r="C153" t="str">
        <f t="shared" ca="1" si="20"/>
        <v>Davis</v>
      </c>
      <c r="D153" t="str">
        <f t="shared" ca="1" si="21"/>
        <v>Emily Davis</v>
      </c>
      <c r="E153">
        <f t="shared" ca="1" si="22"/>
        <v>25</v>
      </c>
      <c r="F153" t="str">
        <f t="shared" ca="1" si="23"/>
        <v>Female</v>
      </c>
      <c r="G153" t="str">
        <f t="shared" ca="1" si="24"/>
        <v>Busan</v>
      </c>
      <c r="H153" s="1">
        <f t="shared" ca="1" si="25"/>
        <v>37091</v>
      </c>
      <c r="I153" t="str">
        <f t="shared" ca="1" si="26"/>
        <v>Young Adult</v>
      </c>
    </row>
    <row r="154" spans="1:9" x14ac:dyDescent="0.25">
      <c r="A154" t="str">
        <f t="shared" si="18"/>
        <v>P153</v>
      </c>
      <c r="B154" t="str">
        <f t="shared" ca="1" si="19"/>
        <v>Sophia</v>
      </c>
      <c r="C154" t="str">
        <f t="shared" ca="1" si="20"/>
        <v>Davis</v>
      </c>
      <c r="D154" t="str">
        <f t="shared" ca="1" si="21"/>
        <v>Sophia Davis</v>
      </c>
      <c r="E154">
        <f t="shared" ca="1" si="22"/>
        <v>21</v>
      </c>
      <c r="F154" t="str">
        <f t="shared" ca="1" si="23"/>
        <v>Male</v>
      </c>
      <c r="G154" t="str">
        <f t="shared" ca="1" si="24"/>
        <v>Seoul</v>
      </c>
      <c r="H154" s="1">
        <f t="shared" ca="1" si="25"/>
        <v>38370</v>
      </c>
      <c r="I154" t="str">
        <f t="shared" ca="1" si="26"/>
        <v>Young Adult</v>
      </c>
    </row>
    <row r="155" spans="1:9" x14ac:dyDescent="0.25">
      <c r="A155" t="str">
        <f t="shared" si="18"/>
        <v>P154</v>
      </c>
      <c r="B155" t="str">
        <f t="shared" ca="1" si="19"/>
        <v>Michael</v>
      </c>
      <c r="C155" t="str">
        <f t="shared" ca="1" si="20"/>
        <v>Garcia</v>
      </c>
      <c r="D155" t="str">
        <f t="shared" ca="1" si="21"/>
        <v>Michael Garcia</v>
      </c>
      <c r="E155">
        <f t="shared" ca="1" si="22"/>
        <v>28</v>
      </c>
      <c r="F155" t="str">
        <f t="shared" ca="1" si="23"/>
        <v>Male</v>
      </c>
      <c r="G155" t="str">
        <f t="shared" ca="1" si="24"/>
        <v>Incheon</v>
      </c>
      <c r="H155" s="1">
        <f t="shared" ca="1" si="25"/>
        <v>36118</v>
      </c>
      <c r="I155" t="str">
        <f t="shared" ca="1" si="26"/>
        <v>Young Adult</v>
      </c>
    </row>
    <row r="156" spans="1:9" x14ac:dyDescent="0.25">
      <c r="A156" t="str">
        <f t="shared" si="18"/>
        <v>P155</v>
      </c>
      <c r="B156" t="str">
        <f t="shared" ca="1" si="19"/>
        <v>William</v>
      </c>
      <c r="C156" t="str">
        <f t="shared" ca="1" si="20"/>
        <v>Anderson</v>
      </c>
      <c r="D156" t="str">
        <f t="shared" ca="1" si="21"/>
        <v>William Anderson</v>
      </c>
      <c r="E156">
        <f t="shared" ca="1" si="22"/>
        <v>42</v>
      </c>
      <c r="F156" t="str">
        <f t="shared" ca="1" si="23"/>
        <v>Male</v>
      </c>
      <c r="G156" t="str">
        <f t="shared" ca="1" si="24"/>
        <v>Seoul</v>
      </c>
      <c r="H156" s="1">
        <f t="shared" ca="1" si="25"/>
        <v>31018</v>
      </c>
      <c r="I156" t="str">
        <f t="shared" ca="1" si="26"/>
        <v>Adult</v>
      </c>
    </row>
    <row r="157" spans="1:9" x14ac:dyDescent="0.25">
      <c r="A157" t="str">
        <f t="shared" si="18"/>
        <v>P156</v>
      </c>
      <c r="B157" t="str">
        <f t="shared" ca="1" si="19"/>
        <v>Emily</v>
      </c>
      <c r="C157" t="str">
        <f t="shared" ca="1" si="20"/>
        <v>Smith</v>
      </c>
      <c r="D157" t="str">
        <f t="shared" ca="1" si="21"/>
        <v>Emily Smith</v>
      </c>
      <c r="E157">
        <f t="shared" ca="1" si="22"/>
        <v>61</v>
      </c>
      <c r="F157" t="str">
        <f t="shared" ca="1" si="23"/>
        <v>Female</v>
      </c>
      <c r="G157" t="str">
        <f t="shared" ca="1" si="24"/>
        <v>Busan</v>
      </c>
      <c r="H157" s="1">
        <f t="shared" ca="1" si="25"/>
        <v>23986</v>
      </c>
      <c r="I157" t="str">
        <f t="shared" ca="1" si="26"/>
        <v>Senior</v>
      </c>
    </row>
    <row r="158" spans="1:9" x14ac:dyDescent="0.25">
      <c r="A158" t="str">
        <f t="shared" si="18"/>
        <v>P157</v>
      </c>
      <c r="B158" t="str">
        <f t="shared" ca="1" si="19"/>
        <v>Michael</v>
      </c>
      <c r="C158" t="str">
        <f t="shared" ca="1" si="20"/>
        <v>Moore</v>
      </c>
      <c r="D158" t="str">
        <f t="shared" ca="1" si="21"/>
        <v>Michael Moore</v>
      </c>
      <c r="E158">
        <f t="shared" ca="1" si="22"/>
        <v>63</v>
      </c>
      <c r="F158" t="str">
        <f t="shared" ca="1" si="23"/>
        <v>Female</v>
      </c>
      <c r="G158" t="str">
        <f t="shared" ca="1" si="24"/>
        <v>Seoul</v>
      </c>
      <c r="H158" s="1">
        <f t="shared" ca="1" si="25"/>
        <v>23251</v>
      </c>
      <c r="I158" t="str">
        <f t="shared" ca="1" si="26"/>
        <v>Senior</v>
      </c>
    </row>
    <row r="159" spans="1:9" x14ac:dyDescent="0.25">
      <c r="A159" t="str">
        <f t="shared" si="18"/>
        <v>P158</v>
      </c>
      <c r="B159" t="str">
        <f t="shared" ca="1" si="19"/>
        <v>Daniel</v>
      </c>
      <c r="C159" t="str">
        <f t="shared" ca="1" si="20"/>
        <v>Taylor</v>
      </c>
      <c r="D159" t="str">
        <f t="shared" ca="1" si="21"/>
        <v>Daniel Taylor</v>
      </c>
      <c r="E159">
        <f t="shared" ca="1" si="22"/>
        <v>46</v>
      </c>
      <c r="F159" t="str">
        <f t="shared" ca="1" si="23"/>
        <v>Male</v>
      </c>
      <c r="G159" t="str">
        <f t="shared" ca="1" si="24"/>
        <v>Incheon</v>
      </c>
      <c r="H159" s="1">
        <f t="shared" ca="1" si="25"/>
        <v>29576</v>
      </c>
      <c r="I159" t="str">
        <f t="shared" ca="1" si="26"/>
        <v>Adult</v>
      </c>
    </row>
    <row r="160" spans="1:9" x14ac:dyDescent="0.25">
      <c r="A160" t="str">
        <f t="shared" si="18"/>
        <v>P159</v>
      </c>
      <c r="B160" t="str">
        <f t="shared" ca="1" si="19"/>
        <v>David</v>
      </c>
      <c r="C160" t="str">
        <f t="shared" ca="1" si="20"/>
        <v>Brown</v>
      </c>
      <c r="D160" t="str">
        <f t="shared" ca="1" si="21"/>
        <v>David Brown</v>
      </c>
      <c r="E160">
        <f t="shared" ca="1" si="22"/>
        <v>58</v>
      </c>
      <c r="F160" t="str">
        <f t="shared" ca="1" si="23"/>
        <v>Male</v>
      </c>
      <c r="G160" t="str">
        <f t="shared" ca="1" si="24"/>
        <v>Daegu</v>
      </c>
      <c r="H160" s="1">
        <f t="shared" ca="1" si="25"/>
        <v>25168</v>
      </c>
      <c r="I160" t="str">
        <f t="shared" ca="1" si="26"/>
        <v>Senior</v>
      </c>
    </row>
    <row r="161" spans="1:9" x14ac:dyDescent="0.25">
      <c r="A161" t="str">
        <f t="shared" si="18"/>
        <v>P160</v>
      </c>
      <c r="B161" t="str">
        <f t="shared" ca="1" si="19"/>
        <v>Maria</v>
      </c>
      <c r="C161" t="str">
        <f t="shared" ca="1" si="20"/>
        <v>Anderson</v>
      </c>
      <c r="D161" t="str">
        <f t="shared" ca="1" si="21"/>
        <v>Maria Anderson</v>
      </c>
      <c r="E161">
        <f t="shared" ca="1" si="22"/>
        <v>49</v>
      </c>
      <c r="F161" t="str">
        <f t="shared" ca="1" si="23"/>
        <v>Male</v>
      </c>
      <c r="G161" t="str">
        <f t="shared" ca="1" si="24"/>
        <v>Daejon</v>
      </c>
      <c r="H161" s="1">
        <f t="shared" ca="1" si="25"/>
        <v>28354</v>
      </c>
      <c r="I161" t="str">
        <f t="shared" ca="1" si="26"/>
        <v>Adult</v>
      </c>
    </row>
    <row r="162" spans="1:9" x14ac:dyDescent="0.25">
      <c r="A162" t="str">
        <f t="shared" si="18"/>
        <v>P161</v>
      </c>
      <c r="B162" t="str">
        <f t="shared" ca="1" si="19"/>
        <v>Sophia</v>
      </c>
      <c r="C162" t="str">
        <f t="shared" ca="1" si="20"/>
        <v>Davis</v>
      </c>
      <c r="D162" t="str">
        <f t="shared" ca="1" si="21"/>
        <v>Sophia Davis</v>
      </c>
      <c r="E162">
        <f t="shared" ca="1" si="22"/>
        <v>57</v>
      </c>
      <c r="F162" t="str">
        <f t="shared" ca="1" si="23"/>
        <v>Male</v>
      </c>
      <c r="G162" t="str">
        <f t="shared" ca="1" si="24"/>
        <v>Daejon</v>
      </c>
      <c r="H162" s="1">
        <f t="shared" ca="1" si="25"/>
        <v>25228</v>
      </c>
      <c r="I162" t="str">
        <f t="shared" ca="1" si="26"/>
        <v>Senior</v>
      </c>
    </row>
    <row r="163" spans="1:9" x14ac:dyDescent="0.25">
      <c r="A163" t="str">
        <f t="shared" si="18"/>
        <v>P162</v>
      </c>
      <c r="B163" t="str">
        <f t="shared" ca="1" si="19"/>
        <v>William</v>
      </c>
      <c r="C163" t="str">
        <f t="shared" ca="1" si="20"/>
        <v>Moore</v>
      </c>
      <c r="D163" t="str">
        <f t="shared" ca="1" si="21"/>
        <v>William Moore</v>
      </c>
      <c r="E163">
        <f t="shared" ca="1" si="22"/>
        <v>44</v>
      </c>
      <c r="F163" t="str">
        <f t="shared" ca="1" si="23"/>
        <v>Female</v>
      </c>
      <c r="G163" t="str">
        <f t="shared" ca="1" si="24"/>
        <v>Daegu</v>
      </c>
      <c r="H163" s="1">
        <f t="shared" ca="1" si="25"/>
        <v>30170</v>
      </c>
      <c r="I163" t="str">
        <f t="shared" ca="1" si="26"/>
        <v>Adult</v>
      </c>
    </row>
    <row r="164" spans="1:9" x14ac:dyDescent="0.25">
      <c r="A164" t="str">
        <f t="shared" si="18"/>
        <v>P163</v>
      </c>
      <c r="B164" t="str">
        <f t="shared" ca="1" si="19"/>
        <v>David</v>
      </c>
      <c r="C164" t="str">
        <f t="shared" ca="1" si="20"/>
        <v>Taylor</v>
      </c>
      <c r="D164" t="str">
        <f t="shared" ca="1" si="21"/>
        <v>David Taylor</v>
      </c>
      <c r="E164">
        <f t="shared" ca="1" si="22"/>
        <v>48</v>
      </c>
      <c r="F164" t="str">
        <f t="shared" ca="1" si="23"/>
        <v>Female</v>
      </c>
      <c r="G164" t="str">
        <f t="shared" ca="1" si="24"/>
        <v>Daejon</v>
      </c>
      <c r="H164" s="1">
        <f t="shared" ca="1" si="25"/>
        <v>28826</v>
      </c>
      <c r="I164" t="str">
        <f t="shared" ca="1" si="26"/>
        <v>Adult</v>
      </c>
    </row>
    <row r="165" spans="1:9" x14ac:dyDescent="0.25">
      <c r="A165" t="str">
        <f t="shared" si="18"/>
        <v>P164</v>
      </c>
      <c r="B165" t="str">
        <f t="shared" ca="1" si="19"/>
        <v>Michael</v>
      </c>
      <c r="C165" t="str">
        <f t="shared" ca="1" si="20"/>
        <v>Garcia</v>
      </c>
      <c r="D165" t="str">
        <f t="shared" ca="1" si="21"/>
        <v>Michael Garcia</v>
      </c>
      <c r="E165">
        <f t="shared" ca="1" si="22"/>
        <v>53</v>
      </c>
      <c r="F165" t="str">
        <f t="shared" ca="1" si="23"/>
        <v>Male</v>
      </c>
      <c r="G165" t="str">
        <f t="shared" ca="1" si="24"/>
        <v>Seoul</v>
      </c>
      <c r="H165" s="1">
        <f t="shared" ca="1" si="25"/>
        <v>26955</v>
      </c>
      <c r="I165" t="str">
        <f t="shared" ca="1" si="26"/>
        <v>Senior</v>
      </c>
    </row>
    <row r="166" spans="1:9" x14ac:dyDescent="0.25">
      <c r="A166" t="str">
        <f t="shared" si="18"/>
        <v>P165</v>
      </c>
      <c r="B166" t="str">
        <f t="shared" ca="1" si="19"/>
        <v>Michael</v>
      </c>
      <c r="C166" t="str">
        <f t="shared" ca="1" si="20"/>
        <v>Brown</v>
      </c>
      <c r="D166" t="str">
        <f t="shared" ca="1" si="21"/>
        <v>Michael Brown</v>
      </c>
      <c r="E166">
        <f t="shared" ca="1" si="22"/>
        <v>64</v>
      </c>
      <c r="F166" t="str">
        <f t="shared" ca="1" si="23"/>
        <v>Male</v>
      </c>
      <c r="G166" t="str">
        <f t="shared" ca="1" si="24"/>
        <v>Daejon</v>
      </c>
      <c r="H166" s="1">
        <f t="shared" ca="1" si="25"/>
        <v>22759</v>
      </c>
      <c r="I166" t="str">
        <f t="shared" ca="1" si="26"/>
        <v>Senior</v>
      </c>
    </row>
    <row r="167" spans="1:9" x14ac:dyDescent="0.25">
      <c r="A167" t="str">
        <f t="shared" si="18"/>
        <v>P166</v>
      </c>
      <c r="B167" t="str">
        <f t="shared" ca="1" si="19"/>
        <v>David</v>
      </c>
      <c r="C167" t="str">
        <f t="shared" ca="1" si="20"/>
        <v>Smith</v>
      </c>
      <c r="D167" t="str">
        <f t="shared" ca="1" si="21"/>
        <v>David Smith</v>
      </c>
      <c r="E167">
        <f t="shared" ca="1" si="22"/>
        <v>57</v>
      </c>
      <c r="F167" t="str">
        <f t="shared" ca="1" si="23"/>
        <v>Male</v>
      </c>
      <c r="G167" t="str">
        <f t="shared" ca="1" si="24"/>
        <v>Daegu</v>
      </c>
      <c r="H167" s="1">
        <f t="shared" ca="1" si="25"/>
        <v>25424</v>
      </c>
      <c r="I167" t="str">
        <f t="shared" ca="1" si="26"/>
        <v>Senior</v>
      </c>
    </row>
    <row r="168" spans="1:9" x14ac:dyDescent="0.25">
      <c r="A168" t="str">
        <f t="shared" si="18"/>
        <v>P167</v>
      </c>
      <c r="B168" t="str">
        <f t="shared" ca="1" si="19"/>
        <v>Emily</v>
      </c>
      <c r="C168" t="str">
        <f t="shared" ca="1" si="20"/>
        <v>Wilson</v>
      </c>
      <c r="D168" t="str">
        <f t="shared" ca="1" si="21"/>
        <v>Emily Wilson</v>
      </c>
      <c r="E168">
        <f t="shared" ca="1" si="22"/>
        <v>56</v>
      </c>
      <c r="F168" t="str">
        <f t="shared" ca="1" si="23"/>
        <v>Female</v>
      </c>
      <c r="G168" t="str">
        <f t="shared" ca="1" si="24"/>
        <v>Incheon</v>
      </c>
      <c r="H168" s="1">
        <f t="shared" ca="1" si="25"/>
        <v>25866</v>
      </c>
      <c r="I168" t="str">
        <f t="shared" ca="1" si="26"/>
        <v>Senior</v>
      </c>
    </row>
    <row r="169" spans="1:9" x14ac:dyDescent="0.25">
      <c r="A169" t="str">
        <f t="shared" si="18"/>
        <v>P168</v>
      </c>
      <c r="B169" t="str">
        <f t="shared" ca="1" si="19"/>
        <v>David</v>
      </c>
      <c r="C169" t="str">
        <f t="shared" ca="1" si="20"/>
        <v>Brown</v>
      </c>
      <c r="D169" t="str">
        <f t="shared" ca="1" si="21"/>
        <v>David Brown</v>
      </c>
      <c r="E169">
        <f t="shared" ca="1" si="22"/>
        <v>34</v>
      </c>
      <c r="F169" t="str">
        <f t="shared" ca="1" si="23"/>
        <v>Male</v>
      </c>
      <c r="G169" t="str">
        <f t="shared" ca="1" si="24"/>
        <v>Daegu</v>
      </c>
      <c r="H169" s="1">
        <f t="shared" ca="1" si="25"/>
        <v>33889</v>
      </c>
      <c r="I169" t="str">
        <f t="shared" ca="1" si="26"/>
        <v>Adult</v>
      </c>
    </row>
    <row r="170" spans="1:9" x14ac:dyDescent="0.25">
      <c r="A170" t="str">
        <f t="shared" si="18"/>
        <v>P169</v>
      </c>
      <c r="B170" t="str">
        <f t="shared" ca="1" si="19"/>
        <v>Daniel</v>
      </c>
      <c r="C170" t="str">
        <f t="shared" ca="1" si="20"/>
        <v>Johnson</v>
      </c>
      <c r="D170" t="str">
        <f t="shared" ca="1" si="21"/>
        <v>Daniel Johnson</v>
      </c>
      <c r="E170">
        <f t="shared" ca="1" si="22"/>
        <v>58</v>
      </c>
      <c r="F170" t="str">
        <f t="shared" ca="1" si="23"/>
        <v>Male</v>
      </c>
      <c r="G170" t="str">
        <f t="shared" ca="1" si="24"/>
        <v>Daejon</v>
      </c>
      <c r="H170" s="1">
        <f t="shared" ca="1" si="25"/>
        <v>24903</v>
      </c>
      <c r="I170" t="str">
        <f t="shared" ca="1" si="26"/>
        <v>Senior</v>
      </c>
    </row>
    <row r="171" spans="1:9" x14ac:dyDescent="0.25">
      <c r="A171" t="str">
        <f t="shared" si="18"/>
        <v>P170</v>
      </c>
      <c r="B171" t="str">
        <f t="shared" ca="1" si="19"/>
        <v>Sarah</v>
      </c>
      <c r="C171" t="str">
        <f t="shared" ca="1" si="20"/>
        <v>Anderson</v>
      </c>
      <c r="D171" t="str">
        <f t="shared" ca="1" si="21"/>
        <v>Sarah Anderson</v>
      </c>
      <c r="E171">
        <f t="shared" ca="1" si="22"/>
        <v>26</v>
      </c>
      <c r="F171" t="str">
        <f t="shared" ca="1" si="23"/>
        <v>Female</v>
      </c>
      <c r="G171" t="str">
        <f t="shared" ca="1" si="24"/>
        <v>Daegu</v>
      </c>
      <c r="H171" s="1">
        <f t="shared" ca="1" si="25"/>
        <v>36584</v>
      </c>
      <c r="I171" t="str">
        <f t="shared" ca="1" si="26"/>
        <v>Young Adult</v>
      </c>
    </row>
    <row r="172" spans="1:9" x14ac:dyDescent="0.25">
      <c r="A172" t="str">
        <f t="shared" si="18"/>
        <v>P171</v>
      </c>
      <c r="B172" t="str">
        <f t="shared" ca="1" si="19"/>
        <v>Sophia</v>
      </c>
      <c r="C172" t="str">
        <f t="shared" ca="1" si="20"/>
        <v>Taylor</v>
      </c>
      <c r="D172" t="str">
        <f t="shared" ca="1" si="21"/>
        <v>Sophia Taylor</v>
      </c>
      <c r="E172">
        <f t="shared" ca="1" si="22"/>
        <v>47</v>
      </c>
      <c r="F172" t="str">
        <f t="shared" ca="1" si="23"/>
        <v>Female</v>
      </c>
      <c r="G172" t="str">
        <f t="shared" ca="1" si="24"/>
        <v>Daejon</v>
      </c>
      <c r="H172" s="1">
        <f t="shared" ca="1" si="25"/>
        <v>28995</v>
      </c>
      <c r="I172" t="str">
        <f t="shared" ca="1" si="26"/>
        <v>Adult</v>
      </c>
    </row>
    <row r="173" spans="1:9" x14ac:dyDescent="0.25">
      <c r="A173" t="str">
        <f t="shared" si="18"/>
        <v>P172</v>
      </c>
      <c r="B173" t="str">
        <f t="shared" ca="1" si="19"/>
        <v>David</v>
      </c>
      <c r="C173" t="str">
        <f t="shared" ca="1" si="20"/>
        <v>Anderson</v>
      </c>
      <c r="D173" t="str">
        <f t="shared" ca="1" si="21"/>
        <v>David Anderson</v>
      </c>
      <c r="E173">
        <f t="shared" ca="1" si="22"/>
        <v>53</v>
      </c>
      <c r="F173" t="str">
        <f t="shared" ca="1" si="23"/>
        <v>Female</v>
      </c>
      <c r="G173" t="str">
        <f t="shared" ca="1" si="24"/>
        <v>Busan</v>
      </c>
      <c r="H173" s="1">
        <f t="shared" ca="1" si="25"/>
        <v>26686</v>
      </c>
      <c r="I173" t="str">
        <f t="shared" ca="1" si="26"/>
        <v>Senior</v>
      </c>
    </row>
    <row r="174" spans="1:9" x14ac:dyDescent="0.25">
      <c r="A174" t="str">
        <f t="shared" si="18"/>
        <v>P173</v>
      </c>
      <c r="B174" t="str">
        <f t="shared" ca="1" si="19"/>
        <v>James</v>
      </c>
      <c r="C174" t="str">
        <f t="shared" ca="1" si="20"/>
        <v>Martinez</v>
      </c>
      <c r="D174" t="str">
        <f t="shared" ca="1" si="21"/>
        <v>James Martinez</v>
      </c>
      <c r="E174">
        <f t="shared" ca="1" si="22"/>
        <v>58</v>
      </c>
      <c r="F174" t="str">
        <f t="shared" ca="1" si="23"/>
        <v>Male</v>
      </c>
      <c r="G174" t="str">
        <f t="shared" ca="1" si="24"/>
        <v>Daegu</v>
      </c>
      <c r="H174" s="1">
        <f t="shared" ca="1" si="25"/>
        <v>25068</v>
      </c>
      <c r="I174" t="str">
        <f t="shared" ca="1" si="26"/>
        <v>Senior</v>
      </c>
    </row>
    <row r="175" spans="1:9" x14ac:dyDescent="0.25">
      <c r="A175" t="str">
        <f t="shared" si="18"/>
        <v>P174</v>
      </c>
      <c r="B175" t="str">
        <f t="shared" ca="1" si="19"/>
        <v>Sarah</v>
      </c>
      <c r="C175" t="str">
        <f t="shared" ca="1" si="20"/>
        <v>Martinez</v>
      </c>
      <c r="D175" t="str">
        <f t="shared" ca="1" si="21"/>
        <v>Sarah Martinez</v>
      </c>
      <c r="E175">
        <f t="shared" ca="1" si="22"/>
        <v>32</v>
      </c>
      <c r="F175" t="str">
        <f t="shared" ca="1" si="23"/>
        <v>Male</v>
      </c>
      <c r="G175" t="str">
        <f t="shared" ca="1" si="24"/>
        <v>Daejon</v>
      </c>
      <c r="H175" s="1">
        <f t="shared" ca="1" si="25"/>
        <v>34612</v>
      </c>
      <c r="I175" t="str">
        <f t="shared" ca="1" si="26"/>
        <v>Adult</v>
      </c>
    </row>
    <row r="176" spans="1:9" x14ac:dyDescent="0.25">
      <c r="A176" t="str">
        <f t="shared" si="18"/>
        <v>P175</v>
      </c>
      <c r="B176" t="str">
        <f t="shared" ca="1" si="19"/>
        <v>James</v>
      </c>
      <c r="C176" t="str">
        <f t="shared" ca="1" si="20"/>
        <v>Anderson</v>
      </c>
      <c r="D176" t="str">
        <f t="shared" ca="1" si="21"/>
        <v>James Anderson</v>
      </c>
      <c r="E176">
        <f t="shared" ca="1" si="22"/>
        <v>64</v>
      </c>
      <c r="F176" t="str">
        <f t="shared" ca="1" si="23"/>
        <v>Female</v>
      </c>
      <c r="G176" t="str">
        <f t="shared" ca="1" si="24"/>
        <v>Incheon</v>
      </c>
      <c r="H176" s="1">
        <f t="shared" ca="1" si="25"/>
        <v>22774</v>
      </c>
      <c r="I176" t="str">
        <f t="shared" ca="1" si="26"/>
        <v>Senior</v>
      </c>
    </row>
    <row r="177" spans="1:9" x14ac:dyDescent="0.25">
      <c r="A177" t="str">
        <f t="shared" si="18"/>
        <v>P176</v>
      </c>
      <c r="B177" t="str">
        <f t="shared" ca="1" si="19"/>
        <v>Emily</v>
      </c>
      <c r="C177" t="str">
        <f t="shared" ca="1" si="20"/>
        <v>Anderson</v>
      </c>
      <c r="D177" t="str">
        <f t="shared" ca="1" si="21"/>
        <v>Emily Anderson</v>
      </c>
      <c r="E177">
        <f t="shared" ca="1" si="22"/>
        <v>41</v>
      </c>
      <c r="F177" t="str">
        <f t="shared" ca="1" si="23"/>
        <v>Female</v>
      </c>
      <c r="G177" t="str">
        <f t="shared" ca="1" si="24"/>
        <v>Busan</v>
      </c>
      <c r="H177" s="1">
        <f t="shared" ca="1" si="25"/>
        <v>31255</v>
      </c>
      <c r="I177" t="str">
        <f t="shared" ca="1" si="26"/>
        <v>Adult</v>
      </c>
    </row>
    <row r="178" spans="1:9" x14ac:dyDescent="0.25">
      <c r="A178" t="str">
        <f t="shared" si="18"/>
        <v>P177</v>
      </c>
      <c r="B178" t="str">
        <f t="shared" ca="1" si="19"/>
        <v>Emily</v>
      </c>
      <c r="C178" t="str">
        <f t="shared" ca="1" si="20"/>
        <v>Smith</v>
      </c>
      <c r="D178" t="str">
        <f t="shared" ca="1" si="21"/>
        <v>Emily Smith</v>
      </c>
      <c r="E178">
        <f t="shared" ca="1" si="22"/>
        <v>36</v>
      </c>
      <c r="F178" t="str">
        <f t="shared" ca="1" si="23"/>
        <v>Female</v>
      </c>
      <c r="G178" t="str">
        <f t="shared" ca="1" si="24"/>
        <v>Incheon</v>
      </c>
      <c r="H178" s="1">
        <f t="shared" ca="1" si="25"/>
        <v>32947</v>
      </c>
      <c r="I178" t="str">
        <f t="shared" ca="1" si="26"/>
        <v>Adult</v>
      </c>
    </row>
    <row r="179" spans="1:9" x14ac:dyDescent="0.25">
      <c r="A179" t="str">
        <f t="shared" si="18"/>
        <v>P178</v>
      </c>
      <c r="B179" t="str">
        <f t="shared" ca="1" si="19"/>
        <v>Olivia</v>
      </c>
      <c r="C179" t="str">
        <f t="shared" ca="1" si="20"/>
        <v>Garcia</v>
      </c>
      <c r="D179" t="str">
        <f t="shared" ca="1" si="21"/>
        <v>Olivia Garcia</v>
      </c>
      <c r="E179">
        <f t="shared" ca="1" si="22"/>
        <v>70</v>
      </c>
      <c r="F179" t="str">
        <f t="shared" ca="1" si="23"/>
        <v>Male</v>
      </c>
      <c r="G179" t="str">
        <f t="shared" ca="1" si="24"/>
        <v>Busan</v>
      </c>
      <c r="H179" s="1">
        <f t="shared" ca="1" si="25"/>
        <v>20461</v>
      </c>
      <c r="I179" t="str">
        <f t="shared" ca="1" si="26"/>
        <v>Senior</v>
      </c>
    </row>
    <row r="180" spans="1:9" x14ac:dyDescent="0.25">
      <c r="A180" t="str">
        <f t="shared" si="18"/>
        <v>P179</v>
      </c>
      <c r="B180" t="str">
        <f t="shared" ca="1" si="19"/>
        <v>David</v>
      </c>
      <c r="C180" t="str">
        <f t="shared" ca="1" si="20"/>
        <v>Garcia</v>
      </c>
      <c r="D180" t="str">
        <f t="shared" ca="1" si="21"/>
        <v>David Garcia</v>
      </c>
      <c r="E180">
        <f t="shared" ca="1" si="22"/>
        <v>40</v>
      </c>
      <c r="F180" t="str">
        <f t="shared" ca="1" si="23"/>
        <v>Male</v>
      </c>
      <c r="G180" t="str">
        <f t="shared" ca="1" si="24"/>
        <v>Incheon</v>
      </c>
      <c r="H180" s="1">
        <f t="shared" ca="1" si="25"/>
        <v>31422</v>
      </c>
      <c r="I180" t="str">
        <f t="shared" ca="1" si="26"/>
        <v>Adult</v>
      </c>
    </row>
    <row r="181" spans="1:9" x14ac:dyDescent="0.25">
      <c r="A181" t="str">
        <f t="shared" si="18"/>
        <v>P180</v>
      </c>
      <c r="B181" t="str">
        <f t="shared" ca="1" si="19"/>
        <v>Sarah</v>
      </c>
      <c r="C181" t="str">
        <f t="shared" ca="1" si="20"/>
        <v>Brown</v>
      </c>
      <c r="D181" t="str">
        <f t="shared" ca="1" si="21"/>
        <v>Sarah Brown</v>
      </c>
      <c r="E181">
        <f t="shared" ca="1" si="22"/>
        <v>22</v>
      </c>
      <c r="F181" t="str">
        <f t="shared" ca="1" si="23"/>
        <v>Male</v>
      </c>
      <c r="G181" t="str">
        <f t="shared" ca="1" si="24"/>
        <v>Daegu</v>
      </c>
      <c r="H181" s="1">
        <f t="shared" ca="1" si="25"/>
        <v>38005</v>
      </c>
      <c r="I181" t="str">
        <f t="shared" ca="1" si="26"/>
        <v>Young Adult</v>
      </c>
    </row>
    <row r="182" spans="1:9" x14ac:dyDescent="0.25">
      <c r="A182" t="str">
        <f t="shared" si="18"/>
        <v>P181</v>
      </c>
      <c r="B182" t="str">
        <f t="shared" ca="1" si="19"/>
        <v>Sophia</v>
      </c>
      <c r="C182" t="str">
        <f t="shared" ca="1" si="20"/>
        <v>Martinez</v>
      </c>
      <c r="D182" t="str">
        <f t="shared" ca="1" si="21"/>
        <v>Sophia Martinez</v>
      </c>
      <c r="E182">
        <f t="shared" ca="1" si="22"/>
        <v>50</v>
      </c>
      <c r="F182" t="str">
        <f t="shared" ca="1" si="23"/>
        <v>Male</v>
      </c>
      <c r="G182" t="str">
        <f t="shared" ca="1" si="24"/>
        <v>Incheon</v>
      </c>
      <c r="H182" s="1">
        <f t="shared" ca="1" si="25"/>
        <v>27817</v>
      </c>
      <c r="I182" t="str">
        <f t="shared" ca="1" si="26"/>
        <v>Senior</v>
      </c>
    </row>
    <row r="183" spans="1:9" x14ac:dyDescent="0.25">
      <c r="A183" t="str">
        <f t="shared" si="18"/>
        <v>P182</v>
      </c>
      <c r="B183" t="str">
        <f t="shared" ca="1" si="19"/>
        <v>Olivia</v>
      </c>
      <c r="C183" t="str">
        <f t="shared" ca="1" si="20"/>
        <v>Wilson</v>
      </c>
      <c r="D183" t="str">
        <f t="shared" ca="1" si="21"/>
        <v>Olivia Wilson</v>
      </c>
      <c r="E183">
        <f t="shared" ca="1" si="22"/>
        <v>62</v>
      </c>
      <c r="F183" t="str">
        <f t="shared" ca="1" si="23"/>
        <v>Female</v>
      </c>
      <c r="G183" t="str">
        <f t="shared" ca="1" si="24"/>
        <v>Daegu</v>
      </c>
      <c r="H183" s="1">
        <f t="shared" ca="1" si="25"/>
        <v>23611</v>
      </c>
      <c r="I183" t="str">
        <f t="shared" ca="1" si="26"/>
        <v>Senior</v>
      </c>
    </row>
    <row r="184" spans="1:9" x14ac:dyDescent="0.25">
      <c r="A184" t="str">
        <f t="shared" si="18"/>
        <v>P183</v>
      </c>
      <c r="B184" t="str">
        <f t="shared" ca="1" si="19"/>
        <v>Michael</v>
      </c>
      <c r="C184" t="str">
        <f t="shared" ca="1" si="20"/>
        <v>Taylor</v>
      </c>
      <c r="D184" t="str">
        <f t="shared" ca="1" si="21"/>
        <v>Michael Taylor</v>
      </c>
      <c r="E184">
        <f t="shared" ca="1" si="22"/>
        <v>22</v>
      </c>
      <c r="F184" t="str">
        <f t="shared" ca="1" si="23"/>
        <v>Female</v>
      </c>
      <c r="G184" t="str">
        <f t="shared" ca="1" si="24"/>
        <v>Daejon</v>
      </c>
      <c r="H184" s="1">
        <f t="shared" ca="1" si="25"/>
        <v>38194</v>
      </c>
      <c r="I184" t="str">
        <f t="shared" ca="1" si="26"/>
        <v>Young Adult</v>
      </c>
    </row>
    <row r="185" spans="1:9" x14ac:dyDescent="0.25">
      <c r="A185" t="str">
        <f t="shared" si="18"/>
        <v>P184</v>
      </c>
      <c r="B185" t="str">
        <f t="shared" ca="1" si="19"/>
        <v>James</v>
      </c>
      <c r="C185" t="str">
        <f t="shared" ca="1" si="20"/>
        <v>Martinez</v>
      </c>
      <c r="D185" t="str">
        <f t="shared" ca="1" si="21"/>
        <v>James Martinez</v>
      </c>
      <c r="E185">
        <f t="shared" ca="1" si="22"/>
        <v>53</v>
      </c>
      <c r="F185" t="str">
        <f t="shared" ca="1" si="23"/>
        <v>Male</v>
      </c>
      <c r="G185" t="str">
        <f t="shared" ca="1" si="24"/>
        <v>Busan</v>
      </c>
      <c r="H185" s="1">
        <f t="shared" ca="1" si="25"/>
        <v>26944</v>
      </c>
      <c r="I185" t="str">
        <f t="shared" ca="1" si="26"/>
        <v>Senior</v>
      </c>
    </row>
    <row r="186" spans="1:9" x14ac:dyDescent="0.25">
      <c r="A186" t="str">
        <f t="shared" si="18"/>
        <v>P185</v>
      </c>
      <c r="B186" t="str">
        <f t="shared" ca="1" si="19"/>
        <v>Olivia</v>
      </c>
      <c r="C186" t="str">
        <f t="shared" ca="1" si="20"/>
        <v>Wilson</v>
      </c>
      <c r="D186" t="str">
        <f t="shared" ca="1" si="21"/>
        <v>Olivia Wilson</v>
      </c>
      <c r="E186">
        <f t="shared" ca="1" si="22"/>
        <v>36</v>
      </c>
      <c r="F186" t="str">
        <f t="shared" ca="1" si="23"/>
        <v>Female</v>
      </c>
      <c r="G186" t="str">
        <f t="shared" ca="1" si="24"/>
        <v>Daejon</v>
      </c>
      <c r="H186" s="1">
        <f t="shared" ca="1" si="25"/>
        <v>33120</v>
      </c>
      <c r="I186" t="str">
        <f t="shared" ca="1" si="26"/>
        <v>Adult</v>
      </c>
    </row>
    <row r="187" spans="1:9" x14ac:dyDescent="0.25">
      <c r="A187" t="str">
        <f t="shared" si="18"/>
        <v>P186</v>
      </c>
      <c r="B187" t="str">
        <f t="shared" ca="1" si="19"/>
        <v>Michael</v>
      </c>
      <c r="C187" t="str">
        <f t="shared" ca="1" si="20"/>
        <v>Moore</v>
      </c>
      <c r="D187" t="str">
        <f t="shared" ca="1" si="21"/>
        <v>Michael Moore</v>
      </c>
      <c r="E187">
        <f t="shared" ca="1" si="22"/>
        <v>31</v>
      </c>
      <c r="F187" t="str">
        <f t="shared" ca="1" si="23"/>
        <v>Female</v>
      </c>
      <c r="G187" t="str">
        <f t="shared" ca="1" si="24"/>
        <v>Daejon</v>
      </c>
      <c r="H187" s="1">
        <f t="shared" ca="1" si="25"/>
        <v>35010</v>
      </c>
      <c r="I187" t="str">
        <f t="shared" ca="1" si="26"/>
        <v>Adult</v>
      </c>
    </row>
    <row r="188" spans="1:9" x14ac:dyDescent="0.25">
      <c r="A188" t="str">
        <f t="shared" si="18"/>
        <v>P187</v>
      </c>
      <c r="B188" t="str">
        <f t="shared" ca="1" si="19"/>
        <v>James</v>
      </c>
      <c r="C188" t="str">
        <f t="shared" ca="1" si="20"/>
        <v>Garcia</v>
      </c>
      <c r="D188" t="str">
        <f t="shared" ca="1" si="21"/>
        <v>James Garcia</v>
      </c>
      <c r="E188">
        <f t="shared" ca="1" si="22"/>
        <v>69</v>
      </c>
      <c r="F188" t="str">
        <f t="shared" ca="1" si="23"/>
        <v>Female</v>
      </c>
      <c r="G188" t="str">
        <f t="shared" ca="1" si="24"/>
        <v>Daejon</v>
      </c>
      <c r="H188" s="1">
        <f t="shared" ca="1" si="25"/>
        <v>21097</v>
      </c>
      <c r="I188" t="str">
        <f t="shared" ca="1" si="26"/>
        <v>Senior</v>
      </c>
    </row>
    <row r="189" spans="1:9" x14ac:dyDescent="0.25">
      <c r="A189" t="str">
        <f t="shared" si="18"/>
        <v>P188</v>
      </c>
      <c r="B189" t="str">
        <f t="shared" ca="1" si="19"/>
        <v>Daniel</v>
      </c>
      <c r="C189" t="str">
        <f t="shared" ca="1" si="20"/>
        <v>Wilson</v>
      </c>
      <c r="D189" t="str">
        <f t="shared" ca="1" si="21"/>
        <v>Daniel Wilson</v>
      </c>
      <c r="E189">
        <f t="shared" ca="1" si="22"/>
        <v>50</v>
      </c>
      <c r="F189" t="str">
        <f t="shared" ca="1" si="23"/>
        <v>Male</v>
      </c>
      <c r="G189" t="str">
        <f t="shared" ca="1" si="24"/>
        <v>Daejon</v>
      </c>
      <c r="H189" s="1">
        <f t="shared" ca="1" si="25"/>
        <v>27959</v>
      </c>
      <c r="I189" t="str">
        <f t="shared" ca="1" si="26"/>
        <v>Senior</v>
      </c>
    </row>
    <row r="190" spans="1:9" x14ac:dyDescent="0.25">
      <c r="A190" t="str">
        <f t="shared" si="18"/>
        <v>P189</v>
      </c>
      <c r="B190" t="str">
        <f t="shared" ca="1" si="19"/>
        <v>Olivia</v>
      </c>
      <c r="C190" t="str">
        <f t="shared" ca="1" si="20"/>
        <v>Martinez</v>
      </c>
      <c r="D190" t="str">
        <f t="shared" ca="1" si="21"/>
        <v>Olivia Martinez</v>
      </c>
      <c r="E190">
        <f t="shared" ca="1" si="22"/>
        <v>70</v>
      </c>
      <c r="F190" t="str">
        <f t="shared" ca="1" si="23"/>
        <v>Male</v>
      </c>
      <c r="G190" t="str">
        <f t="shared" ca="1" si="24"/>
        <v>Seoul</v>
      </c>
      <c r="H190" s="1">
        <f t="shared" ca="1" si="25"/>
        <v>20497</v>
      </c>
      <c r="I190" t="str">
        <f t="shared" ca="1" si="26"/>
        <v>Senior</v>
      </c>
    </row>
    <row r="191" spans="1:9" x14ac:dyDescent="0.25">
      <c r="A191" t="str">
        <f t="shared" si="18"/>
        <v>P190</v>
      </c>
      <c r="B191" t="str">
        <f t="shared" ca="1" si="19"/>
        <v>William</v>
      </c>
      <c r="C191" t="str">
        <f t="shared" ca="1" si="20"/>
        <v>Martinez</v>
      </c>
      <c r="D191" t="str">
        <f t="shared" ca="1" si="21"/>
        <v>William Martinez</v>
      </c>
      <c r="E191">
        <f t="shared" ca="1" si="22"/>
        <v>46</v>
      </c>
      <c r="F191" t="str">
        <f t="shared" ca="1" si="23"/>
        <v>Male</v>
      </c>
      <c r="G191" t="str">
        <f t="shared" ca="1" si="24"/>
        <v>Daegu</v>
      </c>
      <c r="H191" s="1">
        <f t="shared" ca="1" si="25"/>
        <v>29382</v>
      </c>
      <c r="I191" t="str">
        <f t="shared" ca="1" si="26"/>
        <v>Adult</v>
      </c>
    </row>
    <row r="192" spans="1:9" x14ac:dyDescent="0.25">
      <c r="A192" t="str">
        <f t="shared" si="18"/>
        <v>P191</v>
      </c>
      <c r="B192" t="str">
        <f t="shared" ca="1" si="19"/>
        <v>William</v>
      </c>
      <c r="C192" t="str">
        <f t="shared" ca="1" si="20"/>
        <v>Moore</v>
      </c>
      <c r="D192" t="str">
        <f t="shared" ca="1" si="21"/>
        <v>William Moore</v>
      </c>
      <c r="E192">
        <f t="shared" ca="1" si="22"/>
        <v>46</v>
      </c>
      <c r="F192" t="str">
        <f t="shared" ca="1" si="23"/>
        <v>Female</v>
      </c>
      <c r="G192" t="str">
        <f t="shared" ca="1" si="24"/>
        <v>Incheon</v>
      </c>
      <c r="H192" s="1">
        <f t="shared" ca="1" si="25"/>
        <v>29416</v>
      </c>
      <c r="I192" t="str">
        <f t="shared" ca="1" si="26"/>
        <v>Adult</v>
      </c>
    </row>
    <row r="193" spans="1:9" x14ac:dyDescent="0.25">
      <c r="A193" t="str">
        <f t="shared" si="18"/>
        <v>P192</v>
      </c>
      <c r="B193" t="str">
        <f t="shared" ca="1" si="19"/>
        <v>David</v>
      </c>
      <c r="C193" t="str">
        <f t="shared" ca="1" si="20"/>
        <v>Moore</v>
      </c>
      <c r="D193" t="str">
        <f t="shared" ca="1" si="21"/>
        <v>David Moore</v>
      </c>
      <c r="E193">
        <f t="shared" ca="1" si="22"/>
        <v>40</v>
      </c>
      <c r="F193" t="str">
        <f t="shared" ca="1" si="23"/>
        <v>Male</v>
      </c>
      <c r="G193" t="str">
        <f t="shared" ca="1" si="24"/>
        <v>Seoul</v>
      </c>
      <c r="H193" s="1">
        <f t="shared" ca="1" si="25"/>
        <v>31664</v>
      </c>
      <c r="I193" t="str">
        <f t="shared" ca="1" si="26"/>
        <v>Adult</v>
      </c>
    </row>
    <row r="194" spans="1:9" x14ac:dyDescent="0.25">
      <c r="A194" t="str">
        <f t="shared" si="18"/>
        <v>P193</v>
      </c>
      <c r="B194" t="str">
        <f t="shared" ca="1" si="19"/>
        <v>Michael</v>
      </c>
      <c r="C194" t="str">
        <f t="shared" ca="1" si="20"/>
        <v>Moore</v>
      </c>
      <c r="D194" t="str">
        <f t="shared" ca="1" si="21"/>
        <v>Michael Moore</v>
      </c>
      <c r="E194">
        <f t="shared" ca="1" si="22"/>
        <v>56</v>
      </c>
      <c r="F194" t="str">
        <f t="shared" ca="1" si="23"/>
        <v>Female</v>
      </c>
      <c r="G194" t="str">
        <f t="shared" ca="1" si="24"/>
        <v>Busan</v>
      </c>
      <c r="H194" s="1">
        <f t="shared" ca="1" si="25"/>
        <v>25898</v>
      </c>
      <c r="I194" t="str">
        <f t="shared" ca="1" si="26"/>
        <v>Senior</v>
      </c>
    </row>
    <row r="195" spans="1:9" x14ac:dyDescent="0.25">
      <c r="A195" t="str">
        <f t="shared" si="18"/>
        <v>P194</v>
      </c>
      <c r="B195" t="str">
        <f t="shared" ca="1" si="19"/>
        <v>William</v>
      </c>
      <c r="C195" t="str">
        <f t="shared" ca="1" si="20"/>
        <v>Brown</v>
      </c>
      <c r="D195" t="str">
        <f t="shared" ca="1" si="21"/>
        <v>William Brown</v>
      </c>
      <c r="E195">
        <f t="shared" ca="1" si="22"/>
        <v>45</v>
      </c>
      <c r="F195" t="str">
        <f t="shared" ca="1" si="23"/>
        <v>Female</v>
      </c>
      <c r="G195" t="str">
        <f t="shared" ca="1" si="24"/>
        <v>Seoul</v>
      </c>
      <c r="H195" s="1">
        <f t="shared" ca="1" si="25"/>
        <v>29666</v>
      </c>
      <c r="I195" t="str">
        <f t="shared" ca="1" si="26"/>
        <v>Adult</v>
      </c>
    </row>
    <row r="196" spans="1:9" x14ac:dyDescent="0.25">
      <c r="A196" t="str">
        <f t="shared" ref="A196:A259" si="27">"P"&amp;TEXT(ROW(A195),"000")</f>
        <v>P195</v>
      </c>
      <c r="B196" t="str">
        <f t="shared" ref="B196:B259" ca="1" si="28">CHOOSE(RANDBETWEEN(1,10),"James","Maria","David","Sarah","Michael","Emily","Daniel","Olivia","William","Sophia")</f>
        <v>David</v>
      </c>
      <c r="C196" t="str">
        <f t="shared" ref="C196:C259" ca="1" si="29">CHOOSE(RANDBETWEEN(1,10),"Anderson","Garcia","Martinez","Johnson","Smith","Davis","Wilson","Brown","Taylor","Moore")</f>
        <v>Martinez</v>
      </c>
      <c r="D196" t="str">
        <f t="shared" ref="D196:D259" ca="1" si="30">B196&amp;" "&amp;C196</f>
        <v>David Martinez</v>
      </c>
      <c r="E196">
        <f t="shared" ref="E196:E259" ca="1" si="31">RANDBETWEEN(20,70)</f>
        <v>27</v>
      </c>
      <c r="F196" t="str">
        <f t="shared" ref="F196:F259" ca="1" si="32">IF(RANDBETWEEN(0,1)=0, "Male","Female")</f>
        <v>Female</v>
      </c>
      <c r="G196" t="str">
        <f t="shared" ref="G196:G259" ca="1" si="33">CHOOSE(RANDBETWEEN(1,5),"Seoul","Busan","Incheon","Daegu","Daejon")</f>
        <v>Daejon</v>
      </c>
      <c r="H196" s="1">
        <f t="shared" ref="H196:H259" ca="1" si="34">DATE(2026 - E196,RANDBETWEEN(1,12),RANDBETWEEN(1,28))</f>
        <v>36327</v>
      </c>
      <c r="I196" t="str">
        <f t="shared" ref="I196:I259" ca="1" si="35">IF(E196&lt;30,"Young Adult",IF(E196&lt;50,"Adult","Senior"))</f>
        <v>Young Adult</v>
      </c>
    </row>
    <row r="197" spans="1:9" x14ac:dyDescent="0.25">
      <c r="A197" t="str">
        <f t="shared" si="27"/>
        <v>P196</v>
      </c>
      <c r="B197" t="str">
        <f t="shared" ca="1" si="28"/>
        <v>Sarah</v>
      </c>
      <c r="C197" t="str">
        <f t="shared" ca="1" si="29"/>
        <v>Martinez</v>
      </c>
      <c r="D197" t="str">
        <f t="shared" ca="1" si="30"/>
        <v>Sarah Martinez</v>
      </c>
      <c r="E197">
        <f t="shared" ca="1" si="31"/>
        <v>37</v>
      </c>
      <c r="F197" t="str">
        <f t="shared" ca="1" si="32"/>
        <v>Female</v>
      </c>
      <c r="G197" t="str">
        <f t="shared" ca="1" si="33"/>
        <v>Busan</v>
      </c>
      <c r="H197" s="1">
        <f t="shared" ca="1" si="34"/>
        <v>32619</v>
      </c>
      <c r="I197" t="str">
        <f t="shared" ca="1" si="35"/>
        <v>Adult</v>
      </c>
    </row>
    <row r="198" spans="1:9" x14ac:dyDescent="0.25">
      <c r="A198" t="str">
        <f t="shared" si="27"/>
        <v>P197</v>
      </c>
      <c r="B198" t="str">
        <f t="shared" ca="1" si="28"/>
        <v>Sarah</v>
      </c>
      <c r="C198" t="str">
        <f t="shared" ca="1" si="29"/>
        <v>Moore</v>
      </c>
      <c r="D198" t="str">
        <f t="shared" ca="1" si="30"/>
        <v>Sarah Moore</v>
      </c>
      <c r="E198">
        <f t="shared" ca="1" si="31"/>
        <v>26</v>
      </c>
      <c r="F198" t="str">
        <f t="shared" ca="1" si="32"/>
        <v>Male</v>
      </c>
      <c r="G198" t="str">
        <f t="shared" ca="1" si="33"/>
        <v>Daejon</v>
      </c>
      <c r="H198" s="1">
        <f t="shared" ca="1" si="34"/>
        <v>36620</v>
      </c>
      <c r="I198" t="str">
        <f t="shared" ca="1" si="35"/>
        <v>Young Adult</v>
      </c>
    </row>
    <row r="199" spans="1:9" x14ac:dyDescent="0.25">
      <c r="A199" t="str">
        <f t="shared" si="27"/>
        <v>P198</v>
      </c>
      <c r="B199" t="str">
        <f t="shared" ca="1" si="28"/>
        <v>Sophia</v>
      </c>
      <c r="C199" t="str">
        <f t="shared" ca="1" si="29"/>
        <v>Taylor</v>
      </c>
      <c r="D199" t="str">
        <f t="shared" ca="1" si="30"/>
        <v>Sophia Taylor</v>
      </c>
      <c r="E199">
        <f t="shared" ca="1" si="31"/>
        <v>28</v>
      </c>
      <c r="F199" t="str">
        <f t="shared" ca="1" si="32"/>
        <v>Female</v>
      </c>
      <c r="G199" t="str">
        <f t="shared" ca="1" si="33"/>
        <v>Daegu</v>
      </c>
      <c r="H199" s="1">
        <f t="shared" ca="1" si="34"/>
        <v>35971</v>
      </c>
      <c r="I199" t="str">
        <f t="shared" ca="1" si="35"/>
        <v>Young Adult</v>
      </c>
    </row>
    <row r="200" spans="1:9" x14ac:dyDescent="0.25">
      <c r="A200" t="str">
        <f t="shared" si="27"/>
        <v>P199</v>
      </c>
      <c r="B200" t="str">
        <f t="shared" ca="1" si="28"/>
        <v>David</v>
      </c>
      <c r="C200" t="str">
        <f t="shared" ca="1" si="29"/>
        <v>Taylor</v>
      </c>
      <c r="D200" t="str">
        <f t="shared" ca="1" si="30"/>
        <v>David Taylor</v>
      </c>
      <c r="E200">
        <f t="shared" ca="1" si="31"/>
        <v>21</v>
      </c>
      <c r="F200" t="str">
        <f t="shared" ca="1" si="32"/>
        <v>Male</v>
      </c>
      <c r="G200" t="str">
        <f t="shared" ca="1" si="33"/>
        <v>Seoul</v>
      </c>
      <c r="H200" s="1">
        <f t="shared" ca="1" si="34"/>
        <v>38528</v>
      </c>
      <c r="I200" t="str">
        <f t="shared" ca="1" si="35"/>
        <v>Young Adult</v>
      </c>
    </row>
    <row r="201" spans="1:9" x14ac:dyDescent="0.25">
      <c r="A201" t="str">
        <f t="shared" si="27"/>
        <v>P200</v>
      </c>
      <c r="B201" t="str">
        <f t="shared" ca="1" si="28"/>
        <v>James</v>
      </c>
      <c r="C201" t="str">
        <f t="shared" ca="1" si="29"/>
        <v>Davis</v>
      </c>
      <c r="D201" t="str">
        <f t="shared" ca="1" si="30"/>
        <v>James Davis</v>
      </c>
      <c r="E201">
        <f t="shared" ca="1" si="31"/>
        <v>21</v>
      </c>
      <c r="F201" t="str">
        <f t="shared" ca="1" si="32"/>
        <v>Female</v>
      </c>
      <c r="G201" t="str">
        <f t="shared" ca="1" si="33"/>
        <v>Seoul</v>
      </c>
      <c r="H201" s="1">
        <f t="shared" ca="1" si="34"/>
        <v>38446</v>
      </c>
      <c r="I201" t="str">
        <f t="shared" ca="1" si="35"/>
        <v>Young Adult</v>
      </c>
    </row>
    <row r="202" spans="1:9" x14ac:dyDescent="0.25">
      <c r="A202" t="str">
        <f t="shared" si="27"/>
        <v>P201</v>
      </c>
      <c r="B202" t="str">
        <f t="shared" ca="1" si="28"/>
        <v>William</v>
      </c>
      <c r="C202" t="str">
        <f t="shared" ca="1" si="29"/>
        <v>Brown</v>
      </c>
      <c r="D202" t="str">
        <f t="shared" ca="1" si="30"/>
        <v>William Brown</v>
      </c>
      <c r="E202">
        <f t="shared" ca="1" si="31"/>
        <v>60</v>
      </c>
      <c r="F202" t="str">
        <f t="shared" ca="1" si="32"/>
        <v>Female</v>
      </c>
      <c r="G202" t="str">
        <f t="shared" ca="1" si="33"/>
        <v>Busan</v>
      </c>
      <c r="H202" s="1">
        <f t="shared" ca="1" si="34"/>
        <v>24453</v>
      </c>
      <c r="I202" t="str">
        <f t="shared" ca="1" si="35"/>
        <v>Senior</v>
      </c>
    </row>
    <row r="203" spans="1:9" x14ac:dyDescent="0.25">
      <c r="A203" t="str">
        <f t="shared" si="27"/>
        <v>P202</v>
      </c>
      <c r="B203" t="str">
        <f t="shared" ca="1" si="28"/>
        <v>Sophia</v>
      </c>
      <c r="C203" t="str">
        <f t="shared" ca="1" si="29"/>
        <v>Garcia</v>
      </c>
      <c r="D203" t="str">
        <f t="shared" ca="1" si="30"/>
        <v>Sophia Garcia</v>
      </c>
      <c r="E203">
        <f t="shared" ca="1" si="31"/>
        <v>63</v>
      </c>
      <c r="F203" t="str">
        <f t="shared" ca="1" si="32"/>
        <v>Female</v>
      </c>
      <c r="G203" t="str">
        <f t="shared" ca="1" si="33"/>
        <v>Seoul</v>
      </c>
      <c r="H203" s="1">
        <f t="shared" ca="1" si="34"/>
        <v>23158</v>
      </c>
      <c r="I203" t="str">
        <f t="shared" ca="1" si="35"/>
        <v>Senior</v>
      </c>
    </row>
    <row r="204" spans="1:9" x14ac:dyDescent="0.25">
      <c r="A204" t="str">
        <f t="shared" si="27"/>
        <v>P203</v>
      </c>
      <c r="B204" t="str">
        <f t="shared" ca="1" si="28"/>
        <v>Maria</v>
      </c>
      <c r="C204" t="str">
        <f t="shared" ca="1" si="29"/>
        <v>Taylor</v>
      </c>
      <c r="D204" t="str">
        <f t="shared" ca="1" si="30"/>
        <v>Maria Taylor</v>
      </c>
      <c r="E204">
        <f t="shared" ca="1" si="31"/>
        <v>28</v>
      </c>
      <c r="F204" t="str">
        <f t="shared" ca="1" si="32"/>
        <v>Male</v>
      </c>
      <c r="G204" t="str">
        <f t="shared" ca="1" si="33"/>
        <v>Incheon</v>
      </c>
      <c r="H204" s="1">
        <f t="shared" ca="1" si="34"/>
        <v>35910</v>
      </c>
      <c r="I204" t="str">
        <f t="shared" ca="1" si="35"/>
        <v>Young Adult</v>
      </c>
    </row>
    <row r="205" spans="1:9" x14ac:dyDescent="0.25">
      <c r="A205" t="str">
        <f t="shared" si="27"/>
        <v>P204</v>
      </c>
      <c r="B205" t="str">
        <f t="shared" ca="1" si="28"/>
        <v>Emily</v>
      </c>
      <c r="C205" t="str">
        <f t="shared" ca="1" si="29"/>
        <v>Johnson</v>
      </c>
      <c r="D205" t="str">
        <f t="shared" ca="1" si="30"/>
        <v>Emily Johnson</v>
      </c>
      <c r="E205">
        <f t="shared" ca="1" si="31"/>
        <v>61</v>
      </c>
      <c r="F205" t="str">
        <f t="shared" ca="1" si="32"/>
        <v>Female</v>
      </c>
      <c r="G205" t="str">
        <f t="shared" ca="1" si="33"/>
        <v>Daejon</v>
      </c>
      <c r="H205" s="1">
        <f t="shared" ca="1" si="34"/>
        <v>23980</v>
      </c>
      <c r="I205" t="str">
        <f t="shared" ca="1" si="35"/>
        <v>Senior</v>
      </c>
    </row>
    <row r="206" spans="1:9" x14ac:dyDescent="0.25">
      <c r="A206" t="str">
        <f t="shared" si="27"/>
        <v>P205</v>
      </c>
      <c r="B206" t="str">
        <f t="shared" ca="1" si="28"/>
        <v>Sarah</v>
      </c>
      <c r="C206" t="str">
        <f t="shared" ca="1" si="29"/>
        <v>Davis</v>
      </c>
      <c r="D206" t="str">
        <f t="shared" ca="1" si="30"/>
        <v>Sarah Davis</v>
      </c>
      <c r="E206">
        <f t="shared" ca="1" si="31"/>
        <v>61</v>
      </c>
      <c r="F206" t="str">
        <f t="shared" ca="1" si="32"/>
        <v>Female</v>
      </c>
      <c r="G206" t="str">
        <f t="shared" ca="1" si="33"/>
        <v>Daejon</v>
      </c>
      <c r="H206" s="1">
        <f t="shared" ca="1" si="34"/>
        <v>23850</v>
      </c>
      <c r="I206" t="str">
        <f t="shared" ca="1" si="35"/>
        <v>Senior</v>
      </c>
    </row>
    <row r="207" spans="1:9" x14ac:dyDescent="0.25">
      <c r="A207" t="str">
        <f t="shared" si="27"/>
        <v>P206</v>
      </c>
      <c r="B207" t="str">
        <f t="shared" ca="1" si="28"/>
        <v>Sophia</v>
      </c>
      <c r="C207" t="str">
        <f t="shared" ca="1" si="29"/>
        <v>Garcia</v>
      </c>
      <c r="D207" t="str">
        <f t="shared" ca="1" si="30"/>
        <v>Sophia Garcia</v>
      </c>
      <c r="E207">
        <f t="shared" ca="1" si="31"/>
        <v>64</v>
      </c>
      <c r="F207" t="str">
        <f t="shared" ca="1" si="32"/>
        <v>Female</v>
      </c>
      <c r="G207" t="str">
        <f t="shared" ca="1" si="33"/>
        <v>Busan</v>
      </c>
      <c r="H207" s="1">
        <f t="shared" ca="1" si="34"/>
        <v>22935</v>
      </c>
      <c r="I207" t="str">
        <f t="shared" ca="1" si="35"/>
        <v>Senior</v>
      </c>
    </row>
    <row r="208" spans="1:9" x14ac:dyDescent="0.25">
      <c r="A208" t="str">
        <f t="shared" si="27"/>
        <v>P207</v>
      </c>
      <c r="B208" t="str">
        <f t="shared" ca="1" si="28"/>
        <v>James</v>
      </c>
      <c r="C208" t="str">
        <f t="shared" ca="1" si="29"/>
        <v>Wilson</v>
      </c>
      <c r="D208" t="str">
        <f t="shared" ca="1" si="30"/>
        <v>James Wilson</v>
      </c>
      <c r="E208">
        <f t="shared" ca="1" si="31"/>
        <v>35</v>
      </c>
      <c r="F208" t="str">
        <f t="shared" ca="1" si="32"/>
        <v>Female</v>
      </c>
      <c r="G208" t="str">
        <f t="shared" ca="1" si="33"/>
        <v>Busan</v>
      </c>
      <c r="H208" s="1">
        <f t="shared" ca="1" si="34"/>
        <v>33465</v>
      </c>
      <c r="I208" t="str">
        <f t="shared" ca="1" si="35"/>
        <v>Adult</v>
      </c>
    </row>
    <row r="209" spans="1:9" x14ac:dyDescent="0.25">
      <c r="A209" t="str">
        <f t="shared" si="27"/>
        <v>P208</v>
      </c>
      <c r="B209" t="str">
        <f t="shared" ca="1" si="28"/>
        <v>Daniel</v>
      </c>
      <c r="C209" t="str">
        <f t="shared" ca="1" si="29"/>
        <v>Anderson</v>
      </c>
      <c r="D209" t="str">
        <f t="shared" ca="1" si="30"/>
        <v>Daniel Anderson</v>
      </c>
      <c r="E209">
        <f t="shared" ca="1" si="31"/>
        <v>25</v>
      </c>
      <c r="F209" t="str">
        <f t="shared" ca="1" si="32"/>
        <v>Female</v>
      </c>
      <c r="G209" t="str">
        <f t="shared" ca="1" si="33"/>
        <v>Daegu</v>
      </c>
      <c r="H209" s="1">
        <f t="shared" ca="1" si="34"/>
        <v>37124</v>
      </c>
      <c r="I209" t="str">
        <f t="shared" ca="1" si="35"/>
        <v>Young Adult</v>
      </c>
    </row>
    <row r="210" spans="1:9" x14ac:dyDescent="0.25">
      <c r="A210" t="str">
        <f t="shared" si="27"/>
        <v>P209</v>
      </c>
      <c r="B210" t="str">
        <f t="shared" ca="1" si="28"/>
        <v>William</v>
      </c>
      <c r="C210" t="str">
        <f t="shared" ca="1" si="29"/>
        <v>Moore</v>
      </c>
      <c r="D210" t="str">
        <f t="shared" ca="1" si="30"/>
        <v>William Moore</v>
      </c>
      <c r="E210">
        <f t="shared" ca="1" si="31"/>
        <v>45</v>
      </c>
      <c r="F210" t="str">
        <f t="shared" ca="1" si="32"/>
        <v>Male</v>
      </c>
      <c r="G210" t="str">
        <f t="shared" ca="1" si="33"/>
        <v>Incheon</v>
      </c>
      <c r="H210" s="1">
        <f t="shared" ca="1" si="34"/>
        <v>29787</v>
      </c>
      <c r="I210" t="str">
        <f t="shared" ca="1" si="35"/>
        <v>Adult</v>
      </c>
    </row>
    <row r="211" spans="1:9" x14ac:dyDescent="0.25">
      <c r="A211" t="str">
        <f t="shared" si="27"/>
        <v>P210</v>
      </c>
      <c r="B211" t="str">
        <f t="shared" ca="1" si="28"/>
        <v>David</v>
      </c>
      <c r="C211" t="str">
        <f t="shared" ca="1" si="29"/>
        <v>Taylor</v>
      </c>
      <c r="D211" t="str">
        <f t="shared" ca="1" si="30"/>
        <v>David Taylor</v>
      </c>
      <c r="E211">
        <f t="shared" ca="1" si="31"/>
        <v>67</v>
      </c>
      <c r="F211" t="str">
        <f t="shared" ca="1" si="32"/>
        <v>Male</v>
      </c>
      <c r="G211" t="str">
        <f t="shared" ca="1" si="33"/>
        <v>Seoul</v>
      </c>
      <c r="H211" s="1">
        <f t="shared" ca="1" si="34"/>
        <v>21845</v>
      </c>
      <c r="I211" t="str">
        <f t="shared" ca="1" si="35"/>
        <v>Senior</v>
      </c>
    </row>
    <row r="212" spans="1:9" x14ac:dyDescent="0.25">
      <c r="A212" t="str">
        <f t="shared" si="27"/>
        <v>P211</v>
      </c>
      <c r="B212" t="str">
        <f t="shared" ca="1" si="28"/>
        <v>David</v>
      </c>
      <c r="C212" t="str">
        <f t="shared" ca="1" si="29"/>
        <v>Garcia</v>
      </c>
      <c r="D212" t="str">
        <f t="shared" ca="1" si="30"/>
        <v>David Garcia</v>
      </c>
      <c r="E212">
        <f t="shared" ca="1" si="31"/>
        <v>57</v>
      </c>
      <c r="F212" t="str">
        <f t="shared" ca="1" si="32"/>
        <v>Female</v>
      </c>
      <c r="G212" t="str">
        <f t="shared" ca="1" si="33"/>
        <v>Daejon</v>
      </c>
      <c r="H212" s="1">
        <f t="shared" ca="1" si="34"/>
        <v>25270</v>
      </c>
      <c r="I212" t="str">
        <f t="shared" ca="1" si="35"/>
        <v>Senior</v>
      </c>
    </row>
    <row r="213" spans="1:9" x14ac:dyDescent="0.25">
      <c r="A213" t="str">
        <f t="shared" si="27"/>
        <v>P212</v>
      </c>
      <c r="B213" t="str">
        <f t="shared" ca="1" si="28"/>
        <v>Sarah</v>
      </c>
      <c r="C213" t="str">
        <f t="shared" ca="1" si="29"/>
        <v>Johnson</v>
      </c>
      <c r="D213" t="str">
        <f t="shared" ca="1" si="30"/>
        <v>Sarah Johnson</v>
      </c>
      <c r="E213">
        <f t="shared" ca="1" si="31"/>
        <v>51</v>
      </c>
      <c r="F213" t="str">
        <f t="shared" ca="1" si="32"/>
        <v>Male</v>
      </c>
      <c r="G213" t="str">
        <f t="shared" ca="1" si="33"/>
        <v>Seoul</v>
      </c>
      <c r="H213" s="1">
        <f t="shared" ca="1" si="34"/>
        <v>27538</v>
      </c>
      <c r="I213" t="str">
        <f t="shared" ca="1" si="35"/>
        <v>Senior</v>
      </c>
    </row>
    <row r="214" spans="1:9" x14ac:dyDescent="0.25">
      <c r="A214" t="str">
        <f t="shared" si="27"/>
        <v>P213</v>
      </c>
      <c r="B214" t="str">
        <f t="shared" ca="1" si="28"/>
        <v>William</v>
      </c>
      <c r="C214" t="str">
        <f t="shared" ca="1" si="29"/>
        <v>Moore</v>
      </c>
      <c r="D214" t="str">
        <f t="shared" ca="1" si="30"/>
        <v>William Moore</v>
      </c>
      <c r="E214">
        <f t="shared" ca="1" si="31"/>
        <v>59</v>
      </c>
      <c r="F214" t="str">
        <f t="shared" ca="1" si="32"/>
        <v>Male</v>
      </c>
      <c r="G214" t="str">
        <f t="shared" ca="1" si="33"/>
        <v>Seoul</v>
      </c>
      <c r="H214" s="1">
        <f t="shared" ca="1" si="34"/>
        <v>24577</v>
      </c>
      <c r="I214" t="str">
        <f t="shared" ca="1" si="35"/>
        <v>Senior</v>
      </c>
    </row>
    <row r="215" spans="1:9" x14ac:dyDescent="0.25">
      <c r="A215" t="str">
        <f t="shared" si="27"/>
        <v>P214</v>
      </c>
      <c r="B215" t="str">
        <f t="shared" ca="1" si="28"/>
        <v>Emily</v>
      </c>
      <c r="C215" t="str">
        <f t="shared" ca="1" si="29"/>
        <v>Davis</v>
      </c>
      <c r="D215" t="str">
        <f t="shared" ca="1" si="30"/>
        <v>Emily Davis</v>
      </c>
      <c r="E215">
        <f t="shared" ca="1" si="31"/>
        <v>27</v>
      </c>
      <c r="F215" t="str">
        <f t="shared" ca="1" si="32"/>
        <v>Female</v>
      </c>
      <c r="G215" t="str">
        <f t="shared" ca="1" si="33"/>
        <v>Seoul</v>
      </c>
      <c r="H215" s="1">
        <f t="shared" ca="1" si="34"/>
        <v>36473</v>
      </c>
      <c r="I215" t="str">
        <f t="shared" ca="1" si="35"/>
        <v>Young Adult</v>
      </c>
    </row>
    <row r="216" spans="1:9" x14ac:dyDescent="0.25">
      <c r="A216" t="str">
        <f t="shared" si="27"/>
        <v>P215</v>
      </c>
      <c r="B216" t="str">
        <f t="shared" ca="1" si="28"/>
        <v>Emily</v>
      </c>
      <c r="C216" t="str">
        <f t="shared" ca="1" si="29"/>
        <v>Johnson</v>
      </c>
      <c r="D216" t="str">
        <f t="shared" ca="1" si="30"/>
        <v>Emily Johnson</v>
      </c>
      <c r="E216">
        <f t="shared" ca="1" si="31"/>
        <v>64</v>
      </c>
      <c r="F216" t="str">
        <f t="shared" ca="1" si="32"/>
        <v>Male</v>
      </c>
      <c r="G216" t="str">
        <f t="shared" ca="1" si="33"/>
        <v>Daejon</v>
      </c>
      <c r="H216" s="1">
        <f t="shared" ca="1" si="34"/>
        <v>22783</v>
      </c>
      <c r="I216" t="str">
        <f t="shared" ca="1" si="35"/>
        <v>Senior</v>
      </c>
    </row>
    <row r="217" spans="1:9" x14ac:dyDescent="0.25">
      <c r="A217" t="str">
        <f t="shared" si="27"/>
        <v>P216</v>
      </c>
      <c r="B217" t="str">
        <f t="shared" ca="1" si="28"/>
        <v>James</v>
      </c>
      <c r="C217" t="str">
        <f t="shared" ca="1" si="29"/>
        <v>Martinez</v>
      </c>
      <c r="D217" t="str">
        <f t="shared" ca="1" si="30"/>
        <v>James Martinez</v>
      </c>
      <c r="E217">
        <f t="shared" ca="1" si="31"/>
        <v>42</v>
      </c>
      <c r="F217" t="str">
        <f t="shared" ca="1" si="32"/>
        <v>Male</v>
      </c>
      <c r="G217" t="str">
        <f t="shared" ca="1" si="33"/>
        <v>Daejon</v>
      </c>
      <c r="H217" s="1">
        <f t="shared" ca="1" si="34"/>
        <v>30799</v>
      </c>
      <c r="I217" t="str">
        <f t="shared" ca="1" si="35"/>
        <v>Adult</v>
      </c>
    </row>
    <row r="218" spans="1:9" x14ac:dyDescent="0.25">
      <c r="A218" t="str">
        <f t="shared" si="27"/>
        <v>P217</v>
      </c>
      <c r="B218" t="str">
        <f t="shared" ca="1" si="28"/>
        <v>Daniel</v>
      </c>
      <c r="C218" t="str">
        <f t="shared" ca="1" si="29"/>
        <v>Moore</v>
      </c>
      <c r="D218" t="str">
        <f t="shared" ca="1" si="30"/>
        <v>Daniel Moore</v>
      </c>
      <c r="E218">
        <f t="shared" ca="1" si="31"/>
        <v>66</v>
      </c>
      <c r="F218" t="str">
        <f t="shared" ca="1" si="32"/>
        <v>Female</v>
      </c>
      <c r="G218" t="str">
        <f t="shared" ca="1" si="33"/>
        <v>Daejon</v>
      </c>
      <c r="H218" s="1">
        <f t="shared" ca="1" si="34"/>
        <v>21956</v>
      </c>
      <c r="I218" t="str">
        <f t="shared" ca="1" si="35"/>
        <v>Senior</v>
      </c>
    </row>
    <row r="219" spans="1:9" x14ac:dyDescent="0.25">
      <c r="A219" t="str">
        <f t="shared" si="27"/>
        <v>P218</v>
      </c>
      <c r="B219" t="str">
        <f t="shared" ca="1" si="28"/>
        <v>James</v>
      </c>
      <c r="C219" t="str">
        <f t="shared" ca="1" si="29"/>
        <v>Johnson</v>
      </c>
      <c r="D219" t="str">
        <f t="shared" ca="1" si="30"/>
        <v>James Johnson</v>
      </c>
      <c r="E219">
        <f t="shared" ca="1" si="31"/>
        <v>67</v>
      </c>
      <c r="F219" t="str">
        <f t="shared" ca="1" si="32"/>
        <v>Female</v>
      </c>
      <c r="G219" t="str">
        <f t="shared" ca="1" si="33"/>
        <v>Busan</v>
      </c>
      <c r="H219" s="1">
        <f t="shared" ca="1" si="34"/>
        <v>21864</v>
      </c>
      <c r="I219" t="str">
        <f t="shared" ca="1" si="35"/>
        <v>Senior</v>
      </c>
    </row>
    <row r="220" spans="1:9" x14ac:dyDescent="0.25">
      <c r="A220" t="str">
        <f t="shared" si="27"/>
        <v>P219</v>
      </c>
      <c r="B220" t="str">
        <f t="shared" ca="1" si="28"/>
        <v>Sarah</v>
      </c>
      <c r="C220" t="str">
        <f t="shared" ca="1" si="29"/>
        <v>Moore</v>
      </c>
      <c r="D220" t="str">
        <f t="shared" ca="1" si="30"/>
        <v>Sarah Moore</v>
      </c>
      <c r="E220">
        <f t="shared" ca="1" si="31"/>
        <v>56</v>
      </c>
      <c r="F220" t="str">
        <f t="shared" ca="1" si="32"/>
        <v>Male</v>
      </c>
      <c r="G220" t="str">
        <f t="shared" ca="1" si="33"/>
        <v>Busan</v>
      </c>
      <c r="H220" s="1">
        <f t="shared" ca="1" si="34"/>
        <v>25772</v>
      </c>
      <c r="I220" t="str">
        <f t="shared" ca="1" si="35"/>
        <v>Senior</v>
      </c>
    </row>
    <row r="221" spans="1:9" x14ac:dyDescent="0.25">
      <c r="A221" t="str">
        <f t="shared" si="27"/>
        <v>P220</v>
      </c>
      <c r="B221" t="str">
        <f t="shared" ca="1" si="28"/>
        <v>Michael</v>
      </c>
      <c r="C221" t="str">
        <f t="shared" ca="1" si="29"/>
        <v>Moore</v>
      </c>
      <c r="D221" t="str">
        <f t="shared" ca="1" si="30"/>
        <v>Michael Moore</v>
      </c>
      <c r="E221">
        <f t="shared" ca="1" si="31"/>
        <v>51</v>
      </c>
      <c r="F221" t="str">
        <f t="shared" ca="1" si="32"/>
        <v>Female</v>
      </c>
      <c r="G221" t="str">
        <f t="shared" ca="1" si="33"/>
        <v>Incheon</v>
      </c>
      <c r="H221" s="1">
        <f t="shared" ca="1" si="34"/>
        <v>27506</v>
      </c>
      <c r="I221" t="str">
        <f t="shared" ca="1" si="35"/>
        <v>Senior</v>
      </c>
    </row>
    <row r="222" spans="1:9" x14ac:dyDescent="0.25">
      <c r="A222" t="str">
        <f t="shared" si="27"/>
        <v>P221</v>
      </c>
      <c r="B222" t="str">
        <f t="shared" ca="1" si="28"/>
        <v>James</v>
      </c>
      <c r="C222" t="str">
        <f t="shared" ca="1" si="29"/>
        <v>Taylor</v>
      </c>
      <c r="D222" t="str">
        <f t="shared" ca="1" si="30"/>
        <v>James Taylor</v>
      </c>
      <c r="E222">
        <f t="shared" ca="1" si="31"/>
        <v>36</v>
      </c>
      <c r="F222" t="str">
        <f t="shared" ca="1" si="32"/>
        <v>Male</v>
      </c>
      <c r="G222" t="str">
        <f t="shared" ca="1" si="33"/>
        <v>Seoul</v>
      </c>
      <c r="H222" s="1">
        <f t="shared" ca="1" si="34"/>
        <v>32944</v>
      </c>
      <c r="I222" t="str">
        <f t="shared" ca="1" si="35"/>
        <v>Adult</v>
      </c>
    </row>
    <row r="223" spans="1:9" x14ac:dyDescent="0.25">
      <c r="A223" t="str">
        <f t="shared" si="27"/>
        <v>P222</v>
      </c>
      <c r="B223" t="str">
        <f t="shared" ca="1" si="28"/>
        <v>Maria</v>
      </c>
      <c r="C223" t="str">
        <f t="shared" ca="1" si="29"/>
        <v>Johnson</v>
      </c>
      <c r="D223" t="str">
        <f t="shared" ca="1" si="30"/>
        <v>Maria Johnson</v>
      </c>
      <c r="E223">
        <f t="shared" ca="1" si="31"/>
        <v>22</v>
      </c>
      <c r="F223" t="str">
        <f t="shared" ca="1" si="32"/>
        <v>Male</v>
      </c>
      <c r="G223" t="str">
        <f t="shared" ca="1" si="33"/>
        <v>Seoul</v>
      </c>
      <c r="H223" s="1">
        <f t="shared" ca="1" si="34"/>
        <v>38203</v>
      </c>
      <c r="I223" t="str">
        <f t="shared" ca="1" si="35"/>
        <v>Young Adult</v>
      </c>
    </row>
    <row r="224" spans="1:9" x14ac:dyDescent="0.25">
      <c r="A224" t="str">
        <f t="shared" si="27"/>
        <v>P223</v>
      </c>
      <c r="B224" t="str">
        <f t="shared" ca="1" si="28"/>
        <v>Emily</v>
      </c>
      <c r="C224" t="str">
        <f t="shared" ca="1" si="29"/>
        <v>Smith</v>
      </c>
      <c r="D224" t="str">
        <f t="shared" ca="1" si="30"/>
        <v>Emily Smith</v>
      </c>
      <c r="E224">
        <f t="shared" ca="1" si="31"/>
        <v>66</v>
      </c>
      <c r="F224" t="str">
        <f t="shared" ca="1" si="32"/>
        <v>Male</v>
      </c>
      <c r="G224" t="str">
        <f t="shared" ca="1" si="33"/>
        <v>Seoul</v>
      </c>
      <c r="H224" s="1">
        <f t="shared" ca="1" si="34"/>
        <v>22106</v>
      </c>
      <c r="I224" t="str">
        <f t="shared" ca="1" si="35"/>
        <v>Senior</v>
      </c>
    </row>
    <row r="225" spans="1:9" x14ac:dyDescent="0.25">
      <c r="A225" t="str">
        <f t="shared" si="27"/>
        <v>P224</v>
      </c>
      <c r="B225" t="str">
        <f t="shared" ca="1" si="28"/>
        <v>Daniel</v>
      </c>
      <c r="C225" t="str">
        <f t="shared" ca="1" si="29"/>
        <v>Johnson</v>
      </c>
      <c r="D225" t="str">
        <f t="shared" ca="1" si="30"/>
        <v>Daniel Johnson</v>
      </c>
      <c r="E225">
        <f t="shared" ca="1" si="31"/>
        <v>48</v>
      </c>
      <c r="F225" t="str">
        <f t="shared" ca="1" si="32"/>
        <v>Female</v>
      </c>
      <c r="G225" t="str">
        <f t="shared" ca="1" si="33"/>
        <v>Daejon</v>
      </c>
      <c r="H225" s="1">
        <f t="shared" ca="1" si="34"/>
        <v>28726</v>
      </c>
      <c r="I225" t="str">
        <f t="shared" ca="1" si="35"/>
        <v>Adult</v>
      </c>
    </row>
    <row r="226" spans="1:9" x14ac:dyDescent="0.25">
      <c r="A226" t="str">
        <f t="shared" si="27"/>
        <v>P225</v>
      </c>
      <c r="B226" t="str">
        <f t="shared" ca="1" si="28"/>
        <v>Olivia</v>
      </c>
      <c r="C226" t="str">
        <f t="shared" ca="1" si="29"/>
        <v>Moore</v>
      </c>
      <c r="D226" t="str">
        <f t="shared" ca="1" si="30"/>
        <v>Olivia Moore</v>
      </c>
      <c r="E226">
        <f t="shared" ca="1" si="31"/>
        <v>68</v>
      </c>
      <c r="F226" t="str">
        <f t="shared" ca="1" si="32"/>
        <v>Male</v>
      </c>
      <c r="G226" t="str">
        <f t="shared" ca="1" si="33"/>
        <v>Busan</v>
      </c>
      <c r="H226" s="1">
        <f t="shared" ca="1" si="34"/>
        <v>21480</v>
      </c>
      <c r="I226" t="str">
        <f t="shared" ca="1" si="35"/>
        <v>Senior</v>
      </c>
    </row>
    <row r="227" spans="1:9" x14ac:dyDescent="0.25">
      <c r="A227" t="str">
        <f t="shared" si="27"/>
        <v>P226</v>
      </c>
      <c r="B227" t="str">
        <f t="shared" ca="1" si="28"/>
        <v>James</v>
      </c>
      <c r="C227" t="str">
        <f t="shared" ca="1" si="29"/>
        <v>Davis</v>
      </c>
      <c r="D227" t="str">
        <f t="shared" ca="1" si="30"/>
        <v>James Davis</v>
      </c>
      <c r="E227">
        <f t="shared" ca="1" si="31"/>
        <v>41</v>
      </c>
      <c r="F227" t="str">
        <f t="shared" ca="1" si="32"/>
        <v>Female</v>
      </c>
      <c r="G227" t="str">
        <f t="shared" ca="1" si="33"/>
        <v>Daejon</v>
      </c>
      <c r="H227" s="1">
        <f t="shared" ca="1" si="34"/>
        <v>31238</v>
      </c>
      <c r="I227" t="str">
        <f t="shared" ca="1" si="35"/>
        <v>Adult</v>
      </c>
    </row>
    <row r="228" spans="1:9" x14ac:dyDescent="0.25">
      <c r="A228" t="str">
        <f t="shared" si="27"/>
        <v>P227</v>
      </c>
      <c r="B228" t="str">
        <f t="shared" ca="1" si="28"/>
        <v>James</v>
      </c>
      <c r="C228" t="str">
        <f t="shared" ca="1" si="29"/>
        <v>Smith</v>
      </c>
      <c r="D228" t="str">
        <f t="shared" ca="1" si="30"/>
        <v>James Smith</v>
      </c>
      <c r="E228">
        <f t="shared" ca="1" si="31"/>
        <v>65</v>
      </c>
      <c r="F228" t="str">
        <f t="shared" ca="1" si="32"/>
        <v>Male</v>
      </c>
      <c r="G228" t="str">
        <f t="shared" ca="1" si="33"/>
        <v>Busan</v>
      </c>
      <c r="H228" s="1">
        <f t="shared" ca="1" si="34"/>
        <v>22306</v>
      </c>
      <c r="I228" t="str">
        <f t="shared" ca="1" si="35"/>
        <v>Senior</v>
      </c>
    </row>
    <row r="229" spans="1:9" x14ac:dyDescent="0.25">
      <c r="A229" t="str">
        <f t="shared" si="27"/>
        <v>P228</v>
      </c>
      <c r="B229" t="str">
        <f t="shared" ca="1" si="28"/>
        <v>William</v>
      </c>
      <c r="C229" t="str">
        <f t="shared" ca="1" si="29"/>
        <v>Johnson</v>
      </c>
      <c r="D229" t="str">
        <f t="shared" ca="1" si="30"/>
        <v>William Johnson</v>
      </c>
      <c r="E229">
        <f t="shared" ca="1" si="31"/>
        <v>35</v>
      </c>
      <c r="F229" t="str">
        <f t="shared" ca="1" si="32"/>
        <v>Female</v>
      </c>
      <c r="G229" t="str">
        <f t="shared" ca="1" si="33"/>
        <v>Incheon</v>
      </c>
      <c r="H229" s="1">
        <f t="shared" ca="1" si="34"/>
        <v>33365</v>
      </c>
      <c r="I229" t="str">
        <f t="shared" ca="1" si="35"/>
        <v>Adult</v>
      </c>
    </row>
    <row r="230" spans="1:9" x14ac:dyDescent="0.25">
      <c r="A230" t="str">
        <f t="shared" si="27"/>
        <v>P229</v>
      </c>
      <c r="B230" t="str">
        <f t="shared" ca="1" si="28"/>
        <v>David</v>
      </c>
      <c r="C230" t="str">
        <f t="shared" ca="1" si="29"/>
        <v>Johnson</v>
      </c>
      <c r="D230" t="str">
        <f t="shared" ca="1" si="30"/>
        <v>David Johnson</v>
      </c>
      <c r="E230">
        <f t="shared" ca="1" si="31"/>
        <v>31</v>
      </c>
      <c r="F230" t="str">
        <f t="shared" ca="1" si="32"/>
        <v>Female</v>
      </c>
      <c r="G230" t="str">
        <f t="shared" ca="1" si="33"/>
        <v>Daegu</v>
      </c>
      <c r="H230" s="1">
        <f t="shared" ca="1" si="34"/>
        <v>34883</v>
      </c>
      <c r="I230" t="str">
        <f t="shared" ca="1" si="35"/>
        <v>Adult</v>
      </c>
    </row>
    <row r="231" spans="1:9" x14ac:dyDescent="0.25">
      <c r="A231" t="str">
        <f t="shared" si="27"/>
        <v>P230</v>
      </c>
      <c r="B231" t="str">
        <f t="shared" ca="1" si="28"/>
        <v>James</v>
      </c>
      <c r="C231" t="str">
        <f t="shared" ca="1" si="29"/>
        <v>Brown</v>
      </c>
      <c r="D231" t="str">
        <f t="shared" ca="1" si="30"/>
        <v>James Brown</v>
      </c>
      <c r="E231">
        <f t="shared" ca="1" si="31"/>
        <v>49</v>
      </c>
      <c r="F231" t="str">
        <f t="shared" ca="1" si="32"/>
        <v>Female</v>
      </c>
      <c r="G231" t="str">
        <f t="shared" ca="1" si="33"/>
        <v>Busan</v>
      </c>
      <c r="H231" s="1">
        <f t="shared" ca="1" si="34"/>
        <v>28136</v>
      </c>
      <c r="I231" t="str">
        <f t="shared" ca="1" si="35"/>
        <v>Adult</v>
      </c>
    </row>
    <row r="232" spans="1:9" x14ac:dyDescent="0.25">
      <c r="A232" t="str">
        <f t="shared" si="27"/>
        <v>P231</v>
      </c>
      <c r="B232" t="str">
        <f t="shared" ca="1" si="28"/>
        <v>Olivia</v>
      </c>
      <c r="C232" t="str">
        <f t="shared" ca="1" si="29"/>
        <v>Garcia</v>
      </c>
      <c r="D232" t="str">
        <f t="shared" ca="1" si="30"/>
        <v>Olivia Garcia</v>
      </c>
      <c r="E232">
        <f t="shared" ca="1" si="31"/>
        <v>36</v>
      </c>
      <c r="F232" t="str">
        <f t="shared" ca="1" si="32"/>
        <v>Female</v>
      </c>
      <c r="G232" t="str">
        <f t="shared" ca="1" si="33"/>
        <v>Incheon</v>
      </c>
      <c r="H232" s="1">
        <f t="shared" ca="1" si="34"/>
        <v>33163</v>
      </c>
      <c r="I232" t="str">
        <f t="shared" ca="1" si="35"/>
        <v>Adult</v>
      </c>
    </row>
    <row r="233" spans="1:9" x14ac:dyDescent="0.25">
      <c r="A233" t="str">
        <f t="shared" si="27"/>
        <v>P232</v>
      </c>
      <c r="B233" t="str">
        <f t="shared" ca="1" si="28"/>
        <v>Sarah</v>
      </c>
      <c r="C233" t="str">
        <f t="shared" ca="1" si="29"/>
        <v>Wilson</v>
      </c>
      <c r="D233" t="str">
        <f t="shared" ca="1" si="30"/>
        <v>Sarah Wilson</v>
      </c>
      <c r="E233">
        <f t="shared" ca="1" si="31"/>
        <v>68</v>
      </c>
      <c r="F233" t="str">
        <f t="shared" ca="1" si="32"/>
        <v>Female</v>
      </c>
      <c r="G233" t="str">
        <f t="shared" ca="1" si="33"/>
        <v>Daejon</v>
      </c>
      <c r="H233" s="1">
        <f t="shared" ca="1" si="34"/>
        <v>21279</v>
      </c>
      <c r="I233" t="str">
        <f t="shared" ca="1" si="35"/>
        <v>Senior</v>
      </c>
    </row>
    <row r="234" spans="1:9" x14ac:dyDescent="0.25">
      <c r="A234" t="str">
        <f t="shared" si="27"/>
        <v>P233</v>
      </c>
      <c r="B234" t="str">
        <f t="shared" ca="1" si="28"/>
        <v>Michael</v>
      </c>
      <c r="C234" t="str">
        <f t="shared" ca="1" si="29"/>
        <v>Moore</v>
      </c>
      <c r="D234" t="str">
        <f t="shared" ca="1" si="30"/>
        <v>Michael Moore</v>
      </c>
      <c r="E234">
        <f t="shared" ca="1" si="31"/>
        <v>29</v>
      </c>
      <c r="F234" t="str">
        <f t="shared" ca="1" si="32"/>
        <v>Female</v>
      </c>
      <c r="G234" t="str">
        <f t="shared" ca="1" si="33"/>
        <v>Daejon</v>
      </c>
      <c r="H234" s="1">
        <f t="shared" ca="1" si="34"/>
        <v>35747</v>
      </c>
      <c r="I234" t="str">
        <f t="shared" ca="1" si="35"/>
        <v>Young Adult</v>
      </c>
    </row>
    <row r="235" spans="1:9" x14ac:dyDescent="0.25">
      <c r="A235" t="str">
        <f t="shared" si="27"/>
        <v>P234</v>
      </c>
      <c r="B235" t="str">
        <f t="shared" ca="1" si="28"/>
        <v>Michael</v>
      </c>
      <c r="C235" t="str">
        <f t="shared" ca="1" si="29"/>
        <v>Wilson</v>
      </c>
      <c r="D235" t="str">
        <f t="shared" ca="1" si="30"/>
        <v>Michael Wilson</v>
      </c>
      <c r="E235">
        <f t="shared" ca="1" si="31"/>
        <v>37</v>
      </c>
      <c r="F235" t="str">
        <f t="shared" ca="1" si="32"/>
        <v>Female</v>
      </c>
      <c r="G235" t="str">
        <f t="shared" ca="1" si="33"/>
        <v>Daejon</v>
      </c>
      <c r="H235" s="1">
        <f t="shared" ca="1" si="34"/>
        <v>32839</v>
      </c>
      <c r="I235" t="str">
        <f t="shared" ca="1" si="35"/>
        <v>Adult</v>
      </c>
    </row>
    <row r="236" spans="1:9" x14ac:dyDescent="0.25">
      <c r="A236" t="str">
        <f t="shared" si="27"/>
        <v>P235</v>
      </c>
      <c r="B236" t="str">
        <f t="shared" ca="1" si="28"/>
        <v>David</v>
      </c>
      <c r="C236" t="str">
        <f t="shared" ca="1" si="29"/>
        <v>Smith</v>
      </c>
      <c r="D236" t="str">
        <f t="shared" ca="1" si="30"/>
        <v>David Smith</v>
      </c>
      <c r="E236">
        <f t="shared" ca="1" si="31"/>
        <v>23</v>
      </c>
      <c r="F236" t="str">
        <f t="shared" ca="1" si="32"/>
        <v>Male</v>
      </c>
      <c r="G236" t="str">
        <f t="shared" ca="1" si="33"/>
        <v>Daejon</v>
      </c>
      <c r="H236" s="1">
        <f t="shared" ca="1" si="34"/>
        <v>37663</v>
      </c>
      <c r="I236" t="str">
        <f t="shared" ca="1" si="35"/>
        <v>Young Adult</v>
      </c>
    </row>
    <row r="237" spans="1:9" x14ac:dyDescent="0.25">
      <c r="A237" t="str">
        <f t="shared" si="27"/>
        <v>P236</v>
      </c>
      <c r="B237" t="str">
        <f t="shared" ca="1" si="28"/>
        <v>Michael</v>
      </c>
      <c r="C237" t="str">
        <f t="shared" ca="1" si="29"/>
        <v>Smith</v>
      </c>
      <c r="D237" t="str">
        <f t="shared" ca="1" si="30"/>
        <v>Michael Smith</v>
      </c>
      <c r="E237">
        <f t="shared" ca="1" si="31"/>
        <v>60</v>
      </c>
      <c r="F237" t="str">
        <f t="shared" ca="1" si="32"/>
        <v>Male</v>
      </c>
      <c r="G237" t="str">
        <f t="shared" ca="1" si="33"/>
        <v>Daegu</v>
      </c>
      <c r="H237" s="1">
        <f t="shared" ca="1" si="34"/>
        <v>24295</v>
      </c>
      <c r="I237" t="str">
        <f t="shared" ca="1" si="35"/>
        <v>Senior</v>
      </c>
    </row>
    <row r="238" spans="1:9" x14ac:dyDescent="0.25">
      <c r="A238" t="str">
        <f t="shared" si="27"/>
        <v>P237</v>
      </c>
      <c r="B238" t="str">
        <f t="shared" ca="1" si="28"/>
        <v>Michael</v>
      </c>
      <c r="C238" t="str">
        <f t="shared" ca="1" si="29"/>
        <v>Martinez</v>
      </c>
      <c r="D238" t="str">
        <f t="shared" ca="1" si="30"/>
        <v>Michael Martinez</v>
      </c>
      <c r="E238">
        <f t="shared" ca="1" si="31"/>
        <v>59</v>
      </c>
      <c r="F238" t="str">
        <f t="shared" ca="1" si="32"/>
        <v>Female</v>
      </c>
      <c r="G238" t="str">
        <f t="shared" ca="1" si="33"/>
        <v>Seoul</v>
      </c>
      <c r="H238" s="1">
        <f t="shared" ca="1" si="34"/>
        <v>24500</v>
      </c>
      <c r="I238" t="str">
        <f t="shared" ca="1" si="35"/>
        <v>Senior</v>
      </c>
    </row>
    <row r="239" spans="1:9" x14ac:dyDescent="0.25">
      <c r="A239" t="str">
        <f t="shared" si="27"/>
        <v>P238</v>
      </c>
      <c r="B239" t="str">
        <f t="shared" ca="1" si="28"/>
        <v>Michael</v>
      </c>
      <c r="C239" t="str">
        <f t="shared" ca="1" si="29"/>
        <v>Moore</v>
      </c>
      <c r="D239" t="str">
        <f t="shared" ca="1" si="30"/>
        <v>Michael Moore</v>
      </c>
      <c r="E239">
        <f t="shared" ca="1" si="31"/>
        <v>32</v>
      </c>
      <c r="F239" t="str">
        <f t="shared" ca="1" si="32"/>
        <v>Female</v>
      </c>
      <c r="G239" t="str">
        <f t="shared" ca="1" si="33"/>
        <v>Seoul</v>
      </c>
      <c r="H239" s="1">
        <f t="shared" ca="1" si="34"/>
        <v>34349</v>
      </c>
      <c r="I239" t="str">
        <f t="shared" ca="1" si="35"/>
        <v>Adult</v>
      </c>
    </row>
    <row r="240" spans="1:9" x14ac:dyDescent="0.25">
      <c r="A240" t="str">
        <f t="shared" si="27"/>
        <v>P239</v>
      </c>
      <c r="B240" t="str">
        <f t="shared" ca="1" si="28"/>
        <v>James</v>
      </c>
      <c r="C240" t="str">
        <f t="shared" ca="1" si="29"/>
        <v>Moore</v>
      </c>
      <c r="D240" t="str">
        <f t="shared" ca="1" si="30"/>
        <v>James Moore</v>
      </c>
      <c r="E240">
        <f t="shared" ca="1" si="31"/>
        <v>63</v>
      </c>
      <c r="F240" t="str">
        <f t="shared" ca="1" si="32"/>
        <v>Female</v>
      </c>
      <c r="G240" t="str">
        <f t="shared" ca="1" si="33"/>
        <v>Seoul</v>
      </c>
      <c r="H240" s="1">
        <f t="shared" ca="1" si="34"/>
        <v>23106</v>
      </c>
      <c r="I240" t="str">
        <f t="shared" ca="1" si="35"/>
        <v>Senior</v>
      </c>
    </row>
    <row r="241" spans="1:9" x14ac:dyDescent="0.25">
      <c r="A241" t="str">
        <f t="shared" si="27"/>
        <v>P240</v>
      </c>
      <c r="B241" t="str">
        <f t="shared" ca="1" si="28"/>
        <v>James</v>
      </c>
      <c r="C241" t="str">
        <f t="shared" ca="1" si="29"/>
        <v>Martinez</v>
      </c>
      <c r="D241" t="str">
        <f t="shared" ca="1" si="30"/>
        <v>James Martinez</v>
      </c>
      <c r="E241">
        <f t="shared" ca="1" si="31"/>
        <v>20</v>
      </c>
      <c r="F241" t="str">
        <f t="shared" ca="1" si="32"/>
        <v>Male</v>
      </c>
      <c r="G241" t="str">
        <f t="shared" ca="1" si="33"/>
        <v>Daegu</v>
      </c>
      <c r="H241" s="1">
        <f t="shared" ca="1" si="34"/>
        <v>38785</v>
      </c>
      <c r="I241" t="str">
        <f t="shared" ca="1" si="35"/>
        <v>Young Adult</v>
      </c>
    </row>
    <row r="242" spans="1:9" x14ac:dyDescent="0.25">
      <c r="A242" t="str">
        <f t="shared" si="27"/>
        <v>P241</v>
      </c>
      <c r="B242" t="str">
        <f t="shared" ca="1" si="28"/>
        <v>William</v>
      </c>
      <c r="C242" t="str">
        <f t="shared" ca="1" si="29"/>
        <v>Anderson</v>
      </c>
      <c r="D242" t="str">
        <f t="shared" ca="1" si="30"/>
        <v>William Anderson</v>
      </c>
      <c r="E242">
        <f t="shared" ca="1" si="31"/>
        <v>30</v>
      </c>
      <c r="F242" t="str">
        <f t="shared" ca="1" si="32"/>
        <v>Female</v>
      </c>
      <c r="G242" t="str">
        <f t="shared" ca="1" si="33"/>
        <v>Daejon</v>
      </c>
      <c r="H242" s="1">
        <f t="shared" ca="1" si="34"/>
        <v>35239</v>
      </c>
      <c r="I242" t="str">
        <f t="shared" ca="1" si="35"/>
        <v>Adult</v>
      </c>
    </row>
    <row r="243" spans="1:9" x14ac:dyDescent="0.25">
      <c r="A243" t="str">
        <f t="shared" si="27"/>
        <v>P242</v>
      </c>
      <c r="B243" t="str">
        <f t="shared" ca="1" si="28"/>
        <v>Daniel</v>
      </c>
      <c r="C243" t="str">
        <f t="shared" ca="1" si="29"/>
        <v>Davis</v>
      </c>
      <c r="D243" t="str">
        <f t="shared" ca="1" si="30"/>
        <v>Daniel Davis</v>
      </c>
      <c r="E243">
        <f t="shared" ca="1" si="31"/>
        <v>34</v>
      </c>
      <c r="F243" t="str">
        <f t="shared" ca="1" si="32"/>
        <v>Male</v>
      </c>
      <c r="G243" t="str">
        <f t="shared" ca="1" si="33"/>
        <v>Busan</v>
      </c>
      <c r="H243" s="1">
        <f t="shared" ca="1" si="34"/>
        <v>33636</v>
      </c>
      <c r="I243" t="str">
        <f t="shared" ca="1" si="35"/>
        <v>Adult</v>
      </c>
    </row>
    <row r="244" spans="1:9" x14ac:dyDescent="0.25">
      <c r="A244" t="str">
        <f t="shared" si="27"/>
        <v>P243</v>
      </c>
      <c r="B244" t="str">
        <f t="shared" ca="1" si="28"/>
        <v>David</v>
      </c>
      <c r="C244" t="str">
        <f t="shared" ca="1" si="29"/>
        <v>Martinez</v>
      </c>
      <c r="D244" t="str">
        <f t="shared" ca="1" si="30"/>
        <v>David Martinez</v>
      </c>
      <c r="E244">
        <f t="shared" ca="1" si="31"/>
        <v>53</v>
      </c>
      <c r="F244" t="str">
        <f t="shared" ca="1" si="32"/>
        <v>Male</v>
      </c>
      <c r="G244" t="str">
        <f t="shared" ca="1" si="33"/>
        <v>Daejon</v>
      </c>
      <c r="H244" s="1">
        <f t="shared" ca="1" si="34"/>
        <v>27022</v>
      </c>
      <c r="I244" t="str">
        <f t="shared" ca="1" si="35"/>
        <v>Senior</v>
      </c>
    </row>
    <row r="245" spans="1:9" x14ac:dyDescent="0.25">
      <c r="A245" t="str">
        <f t="shared" si="27"/>
        <v>P244</v>
      </c>
      <c r="B245" t="str">
        <f t="shared" ca="1" si="28"/>
        <v>Sarah</v>
      </c>
      <c r="C245" t="str">
        <f t="shared" ca="1" si="29"/>
        <v>Davis</v>
      </c>
      <c r="D245" t="str">
        <f t="shared" ca="1" si="30"/>
        <v>Sarah Davis</v>
      </c>
      <c r="E245">
        <f t="shared" ca="1" si="31"/>
        <v>37</v>
      </c>
      <c r="F245" t="str">
        <f t="shared" ca="1" si="32"/>
        <v>Male</v>
      </c>
      <c r="G245" t="str">
        <f t="shared" ca="1" si="33"/>
        <v>Incheon</v>
      </c>
      <c r="H245" s="1">
        <f t="shared" ca="1" si="34"/>
        <v>32783</v>
      </c>
      <c r="I245" t="str">
        <f t="shared" ca="1" si="35"/>
        <v>Adult</v>
      </c>
    </row>
    <row r="246" spans="1:9" x14ac:dyDescent="0.25">
      <c r="A246" t="str">
        <f t="shared" si="27"/>
        <v>P245</v>
      </c>
      <c r="B246" t="str">
        <f t="shared" ca="1" si="28"/>
        <v>Sarah</v>
      </c>
      <c r="C246" t="str">
        <f t="shared" ca="1" si="29"/>
        <v>Johnson</v>
      </c>
      <c r="D246" t="str">
        <f t="shared" ca="1" si="30"/>
        <v>Sarah Johnson</v>
      </c>
      <c r="E246">
        <f t="shared" ca="1" si="31"/>
        <v>28</v>
      </c>
      <c r="F246" t="str">
        <f t="shared" ca="1" si="32"/>
        <v>Female</v>
      </c>
      <c r="G246" t="str">
        <f t="shared" ca="1" si="33"/>
        <v>Daegu</v>
      </c>
      <c r="H246" s="1">
        <f t="shared" ca="1" si="34"/>
        <v>36089</v>
      </c>
      <c r="I246" t="str">
        <f t="shared" ca="1" si="35"/>
        <v>Young Adult</v>
      </c>
    </row>
    <row r="247" spans="1:9" x14ac:dyDescent="0.25">
      <c r="A247" t="str">
        <f t="shared" si="27"/>
        <v>P246</v>
      </c>
      <c r="B247" t="str">
        <f t="shared" ca="1" si="28"/>
        <v>Daniel</v>
      </c>
      <c r="C247" t="str">
        <f t="shared" ca="1" si="29"/>
        <v>Smith</v>
      </c>
      <c r="D247" t="str">
        <f t="shared" ca="1" si="30"/>
        <v>Daniel Smith</v>
      </c>
      <c r="E247">
        <f t="shared" ca="1" si="31"/>
        <v>34</v>
      </c>
      <c r="F247" t="str">
        <f t="shared" ca="1" si="32"/>
        <v>Male</v>
      </c>
      <c r="G247" t="str">
        <f t="shared" ca="1" si="33"/>
        <v>Busan</v>
      </c>
      <c r="H247" s="1">
        <f t="shared" ca="1" si="34"/>
        <v>33839</v>
      </c>
      <c r="I247" t="str">
        <f t="shared" ca="1" si="35"/>
        <v>Adult</v>
      </c>
    </row>
    <row r="248" spans="1:9" x14ac:dyDescent="0.25">
      <c r="A248" t="str">
        <f t="shared" si="27"/>
        <v>P247</v>
      </c>
      <c r="B248" t="str">
        <f t="shared" ca="1" si="28"/>
        <v>Daniel</v>
      </c>
      <c r="C248" t="str">
        <f t="shared" ca="1" si="29"/>
        <v>Smith</v>
      </c>
      <c r="D248" t="str">
        <f t="shared" ca="1" si="30"/>
        <v>Daniel Smith</v>
      </c>
      <c r="E248">
        <f t="shared" ca="1" si="31"/>
        <v>40</v>
      </c>
      <c r="F248" t="str">
        <f t="shared" ca="1" si="32"/>
        <v>Male</v>
      </c>
      <c r="G248" t="str">
        <f t="shared" ca="1" si="33"/>
        <v>Busan</v>
      </c>
      <c r="H248" s="1">
        <f t="shared" ca="1" si="34"/>
        <v>31692</v>
      </c>
      <c r="I248" t="str">
        <f t="shared" ca="1" si="35"/>
        <v>Adult</v>
      </c>
    </row>
    <row r="249" spans="1:9" x14ac:dyDescent="0.25">
      <c r="A249" t="str">
        <f t="shared" si="27"/>
        <v>P248</v>
      </c>
      <c r="B249" t="str">
        <f t="shared" ca="1" si="28"/>
        <v>Michael</v>
      </c>
      <c r="C249" t="str">
        <f t="shared" ca="1" si="29"/>
        <v>Johnson</v>
      </c>
      <c r="D249" t="str">
        <f t="shared" ca="1" si="30"/>
        <v>Michael Johnson</v>
      </c>
      <c r="E249">
        <f t="shared" ca="1" si="31"/>
        <v>55</v>
      </c>
      <c r="F249" t="str">
        <f t="shared" ca="1" si="32"/>
        <v>Female</v>
      </c>
      <c r="G249" t="str">
        <f t="shared" ca="1" si="33"/>
        <v>Daegu</v>
      </c>
      <c r="H249" s="1">
        <f t="shared" ca="1" si="34"/>
        <v>26252</v>
      </c>
      <c r="I249" t="str">
        <f t="shared" ca="1" si="35"/>
        <v>Senior</v>
      </c>
    </row>
    <row r="250" spans="1:9" x14ac:dyDescent="0.25">
      <c r="A250" t="str">
        <f t="shared" si="27"/>
        <v>P249</v>
      </c>
      <c r="B250" t="str">
        <f t="shared" ca="1" si="28"/>
        <v>Daniel</v>
      </c>
      <c r="C250" t="str">
        <f t="shared" ca="1" si="29"/>
        <v>Martinez</v>
      </c>
      <c r="D250" t="str">
        <f t="shared" ca="1" si="30"/>
        <v>Daniel Martinez</v>
      </c>
      <c r="E250">
        <f t="shared" ca="1" si="31"/>
        <v>58</v>
      </c>
      <c r="F250" t="str">
        <f t="shared" ca="1" si="32"/>
        <v>Female</v>
      </c>
      <c r="G250" t="str">
        <f t="shared" ca="1" si="33"/>
        <v>Daejon</v>
      </c>
      <c r="H250" s="1">
        <f t="shared" ca="1" si="34"/>
        <v>25199</v>
      </c>
      <c r="I250" t="str">
        <f t="shared" ca="1" si="35"/>
        <v>Senior</v>
      </c>
    </row>
    <row r="251" spans="1:9" x14ac:dyDescent="0.25">
      <c r="A251" t="str">
        <f t="shared" si="27"/>
        <v>P250</v>
      </c>
      <c r="B251" t="str">
        <f t="shared" ca="1" si="28"/>
        <v>Maria</v>
      </c>
      <c r="C251" t="str">
        <f t="shared" ca="1" si="29"/>
        <v>Martinez</v>
      </c>
      <c r="D251" t="str">
        <f t="shared" ca="1" si="30"/>
        <v>Maria Martinez</v>
      </c>
      <c r="E251">
        <f t="shared" ca="1" si="31"/>
        <v>55</v>
      </c>
      <c r="F251" t="str">
        <f t="shared" ca="1" si="32"/>
        <v>Male</v>
      </c>
      <c r="G251" t="str">
        <f t="shared" ca="1" si="33"/>
        <v>Daegu</v>
      </c>
      <c r="H251" s="1">
        <f t="shared" ca="1" si="34"/>
        <v>25948</v>
      </c>
      <c r="I251" t="str">
        <f t="shared" ca="1" si="35"/>
        <v>Senior</v>
      </c>
    </row>
    <row r="252" spans="1:9" x14ac:dyDescent="0.25">
      <c r="A252" t="str">
        <f t="shared" si="27"/>
        <v>P251</v>
      </c>
      <c r="B252" t="str">
        <f t="shared" ca="1" si="28"/>
        <v>Maria</v>
      </c>
      <c r="C252" t="str">
        <f t="shared" ca="1" si="29"/>
        <v>Davis</v>
      </c>
      <c r="D252" t="str">
        <f t="shared" ca="1" si="30"/>
        <v>Maria Davis</v>
      </c>
      <c r="E252">
        <f t="shared" ca="1" si="31"/>
        <v>67</v>
      </c>
      <c r="F252" t="str">
        <f t="shared" ca="1" si="32"/>
        <v>Male</v>
      </c>
      <c r="G252" t="str">
        <f t="shared" ca="1" si="33"/>
        <v>Daejon</v>
      </c>
      <c r="H252" s="1">
        <f t="shared" ca="1" si="34"/>
        <v>21796</v>
      </c>
      <c r="I252" t="str">
        <f t="shared" ca="1" si="35"/>
        <v>Senior</v>
      </c>
    </row>
    <row r="253" spans="1:9" x14ac:dyDescent="0.25">
      <c r="A253" t="str">
        <f t="shared" si="27"/>
        <v>P252</v>
      </c>
      <c r="B253" t="str">
        <f t="shared" ca="1" si="28"/>
        <v>Daniel</v>
      </c>
      <c r="C253" t="str">
        <f t="shared" ca="1" si="29"/>
        <v>Garcia</v>
      </c>
      <c r="D253" t="str">
        <f t="shared" ca="1" si="30"/>
        <v>Daniel Garcia</v>
      </c>
      <c r="E253">
        <f t="shared" ca="1" si="31"/>
        <v>55</v>
      </c>
      <c r="F253" t="str">
        <f t="shared" ca="1" si="32"/>
        <v>Female</v>
      </c>
      <c r="G253" t="str">
        <f t="shared" ca="1" si="33"/>
        <v>Daegu</v>
      </c>
      <c r="H253" s="1">
        <f t="shared" ca="1" si="34"/>
        <v>26234</v>
      </c>
      <c r="I253" t="str">
        <f t="shared" ca="1" si="35"/>
        <v>Senior</v>
      </c>
    </row>
    <row r="254" spans="1:9" x14ac:dyDescent="0.25">
      <c r="A254" t="str">
        <f t="shared" si="27"/>
        <v>P253</v>
      </c>
      <c r="B254" t="str">
        <f t="shared" ca="1" si="28"/>
        <v>Emily</v>
      </c>
      <c r="C254" t="str">
        <f t="shared" ca="1" si="29"/>
        <v>Wilson</v>
      </c>
      <c r="D254" t="str">
        <f t="shared" ca="1" si="30"/>
        <v>Emily Wilson</v>
      </c>
      <c r="E254">
        <f t="shared" ca="1" si="31"/>
        <v>59</v>
      </c>
      <c r="F254" t="str">
        <f t="shared" ca="1" si="32"/>
        <v>Female</v>
      </c>
      <c r="G254" t="str">
        <f t="shared" ca="1" si="33"/>
        <v>Busan</v>
      </c>
      <c r="H254" s="1">
        <f t="shared" ca="1" si="34"/>
        <v>24521</v>
      </c>
      <c r="I254" t="str">
        <f t="shared" ca="1" si="35"/>
        <v>Senior</v>
      </c>
    </row>
    <row r="255" spans="1:9" x14ac:dyDescent="0.25">
      <c r="A255" t="str">
        <f t="shared" si="27"/>
        <v>P254</v>
      </c>
      <c r="B255" t="str">
        <f t="shared" ca="1" si="28"/>
        <v>Michael</v>
      </c>
      <c r="C255" t="str">
        <f t="shared" ca="1" si="29"/>
        <v>Johnson</v>
      </c>
      <c r="D255" t="str">
        <f t="shared" ca="1" si="30"/>
        <v>Michael Johnson</v>
      </c>
      <c r="E255">
        <f t="shared" ca="1" si="31"/>
        <v>52</v>
      </c>
      <c r="F255" t="str">
        <f t="shared" ca="1" si="32"/>
        <v>Male</v>
      </c>
      <c r="G255" t="str">
        <f t="shared" ca="1" si="33"/>
        <v>Busan</v>
      </c>
      <c r="H255" s="1">
        <f t="shared" ca="1" si="34"/>
        <v>27214</v>
      </c>
      <c r="I255" t="str">
        <f t="shared" ca="1" si="35"/>
        <v>Senior</v>
      </c>
    </row>
    <row r="256" spans="1:9" x14ac:dyDescent="0.25">
      <c r="A256" t="str">
        <f t="shared" si="27"/>
        <v>P255</v>
      </c>
      <c r="B256" t="str">
        <f t="shared" ca="1" si="28"/>
        <v>Emily</v>
      </c>
      <c r="C256" t="str">
        <f t="shared" ca="1" si="29"/>
        <v>Martinez</v>
      </c>
      <c r="D256" t="str">
        <f t="shared" ca="1" si="30"/>
        <v>Emily Martinez</v>
      </c>
      <c r="E256">
        <f t="shared" ca="1" si="31"/>
        <v>52</v>
      </c>
      <c r="F256" t="str">
        <f t="shared" ca="1" si="32"/>
        <v>Female</v>
      </c>
      <c r="G256" t="str">
        <f t="shared" ca="1" si="33"/>
        <v>Seoul</v>
      </c>
      <c r="H256" s="1">
        <f t="shared" ca="1" si="34"/>
        <v>27067</v>
      </c>
      <c r="I256" t="str">
        <f t="shared" ca="1" si="35"/>
        <v>Senior</v>
      </c>
    </row>
    <row r="257" spans="1:9" x14ac:dyDescent="0.25">
      <c r="A257" t="str">
        <f t="shared" si="27"/>
        <v>P256</v>
      </c>
      <c r="B257" t="str">
        <f t="shared" ca="1" si="28"/>
        <v>Daniel</v>
      </c>
      <c r="C257" t="str">
        <f t="shared" ca="1" si="29"/>
        <v>Martinez</v>
      </c>
      <c r="D257" t="str">
        <f t="shared" ca="1" si="30"/>
        <v>Daniel Martinez</v>
      </c>
      <c r="E257">
        <f t="shared" ca="1" si="31"/>
        <v>27</v>
      </c>
      <c r="F257" t="str">
        <f t="shared" ca="1" si="32"/>
        <v>Male</v>
      </c>
      <c r="G257" t="str">
        <f t="shared" ca="1" si="33"/>
        <v>Seoul</v>
      </c>
      <c r="H257" s="1">
        <f t="shared" ca="1" si="34"/>
        <v>36391</v>
      </c>
      <c r="I257" t="str">
        <f t="shared" ca="1" si="35"/>
        <v>Young Adult</v>
      </c>
    </row>
    <row r="258" spans="1:9" x14ac:dyDescent="0.25">
      <c r="A258" t="str">
        <f t="shared" si="27"/>
        <v>P257</v>
      </c>
      <c r="B258" t="str">
        <f t="shared" ca="1" si="28"/>
        <v>James</v>
      </c>
      <c r="C258" t="str">
        <f t="shared" ca="1" si="29"/>
        <v>Anderson</v>
      </c>
      <c r="D258" t="str">
        <f t="shared" ca="1" si="30"/>
        <v>James Anderson</v>
      </c>
      <c r="E258">
        <f t="shared" ca="1" si="31"/>
        <v>41</v>
      </c>
      <c r="F258" t="str">
        <f t="shared" ca="1" si="32"/>
        <v>Female</v>
      </c>
      <c r="G258" t="str">
        <f t="shared" ca="1" si="33"/>
        <v>Busan</v>
      </c>
      <c r="H258" s="1">
        <f t="shared" ca="1" si="34"/>
        <v>31356</v>
      </c>
      <c r="I258" t="str">
        <f t="shared" ca="1" si="35"/>
        <v>Adult</v>
      </c>
    </row>
    <row r="259" spans="1:9" x14ac:dyDescent="0.25">
      <c r="A259" t="str">
        <f t="shared" si="27"/>
        <v>P258</v>
      </c>
      <c r="B259" t="str">
        <f t="shared" ca="1" si="28"/>
        <v>Sarah</v>
      </c>
      <c r="C259" t="str">
        <f t="shared" ca="1" si="29"/>
        <v>Davis</v>
      </c>
      <c r="D259" t="str">
        <f t="shared" ca="1" si="30"/>
        <v>Sarah Davis</v>
      </c>
      <c r="E259">
        <f t="shared" ca="1" si="31"/>
        <v>66</v>
      </c>
      <c r="F259" t="str">
        <f t="shared" ca="1" si="32"/>
        <v>Female</v>
      </c>
      <c r="G259" t="str">
        <f t="shared" ca="1" si="33"/>
        <v>Incheon</v>
      </c>
      <c r="H259" s="1">
        <f t="shared" ca="1" si="34"/>
        <v>22254</v>
      </c>
      <c r="I259" t="str">
        <f t="shared" ca="1" si="35"/>
        <v>Senior</v>
      </c>
    </row>
    <row r="260" spans="1:9" x14ac:dyDescent="0.25">
      <c r="A260" t="str">
        <f t="shared" ref="A260:A323" si="36">"P"&amp;TEXT(ROW(A259),"000")</f>
        <v>P259</v>
      </c>
      <c r="B260" t="str">
        <f t="shared" ref="B260:B323" ca="1" si="37">CHOOSE(RANDBETWEEN(1,10),"James","Maria","David","Sarah","Michael","Emily","Daniel","Olivia","William","Sophia")</f>
        <v>Emily</v>
      </c>
      <c r="C260" t="str">
        <f t="shared" ref="C260:C323" ca="1" si="38">CHOOSE(RANDBETWEEN(1,10),"Anderson","Garcia","Martinez","Johnson","Smith","Davis","Wilson","Brown","Taylor","Moore")</f>
        <v>Davis</v>
      </c>
      <c r="D260" t="str">
        <f t="shared" ref="D260:D323" ca="1" si="39">B260&amp;" "&amp;C260</f>
        <v>Emily Davis</v>
      </c>
      <c r="E260">
        <f t="shared" ref="E260:E323" ca="1" si="40">RANDBETWEEN(20,70)</f>
        <v>40</v>
      </c>
      <c r="F260" t="str">
        <f t="shared" ref="F260:F323" ca="1" si="41">IF(RANDBETWEEN(0,1)=0, "Male","Female")</f>
        <v>Female</v>
      </c>
      <c r="G260" t="str">
        <f t="shared" ref="G260:G323" ca="1" si="42">CHOOSE(RANDBETWEEN(1,5),"Seoul","Busan","Incheon","Daegu","Daejon")</f>
        <v>Daegu</v>
      </c>
      <c r="H260" s="1">
        <f t="shared" ref="H260:H323" ca="1" si="43">DATE(2026 - E260,RANDBETWEEN(1,12),RANDBETWEEN(1,28))</f>
        <v>31689</v>
      </c>
      <c r="I260" t="str">
        <f t="shared" ref="I260:I323" ca="1" si="44">IF(E260&lt;30,"Young Adult",IF(E260&lt;50,"Adult","Senior"))</f>
        <v>Adult</v>
      </c>
    </row>
    <row r="261" spans="1:9" x14ac:dyDescent="0.25">
      <c r="A261" t="str">
        <f t="shared" si="36"/>
        <v>P260</v>
      </c>
      <c r="B261" t="str">
        <f t="shared" ca="1" si="37"/>
        <v>Sarah</v>
      </c>
      <c r="C261" t="str">
        <f t="shared" ca="1" si="38"/>
        <v>Wilson</v>
      </c>
      <c r="D261" t="str">
        <f t="shared" ca="1" si="39"/>
        <v>Sarah Wilson</v>
      </c>
      <c r="E261">
        <f t="shared" ca="1" si="40"/>
        <v>32</v>
      </c>
      <c r="F261" t="str">
        <f t="shared" ca="1" si="41"/>
        <v>Male</v>
      </c>
      <c r="G261" t="str">
        <f t="shared" ca="1" si="42"/>
        <v>Busan</v>
      </c>
      <c r="H261" s="1">
        <f t="shared" ca="1" si="43"/>
        <v>34421</v>
      </c>
      <c r="I261" t="str">
        <f t="shared" ca="1" si="44"/>
        <v>Adult</v>
      </c>
    </row>
    <row r="262" spans="1:9" x14ac:dyDescent="0.25">
      <c r="A262" t="str">
        <f t="shared" si="36"/>
        <v>P261</v>
      </c>
      <c r="B262" t="str">
        <f t="shared" ca="1" si="37"/>
        <v>William</v>
      </c>
      <c r="C262" t="str">
        <f t="shared" ca="1" si="38"/>
        <v>Moore</v>
      </c>
      <c r="D262" t="str">
        <f t="shared" ca="1" si="39"/>
        <v>William Moore</v>
      </c>
      <c r="E262">
        <f t="shared" ca="1" si="40"/>
        <v>49</v>
      </c>
      <c r="F262" t="str">
        <f t="shared" ca="1" si="41"/>
        <v>Male</v>
      </c>
      <c r="G262" t="str">
        <f t="shared" ca="1" si="42"/>
        <v>Daegu</v>
      </c>
      <c r="H262" s="1">
        <f t="shared" ca="1" si="43"/>
        <v>28448</v>
      </c>
      <c r="I262" t="str">
        <f t="shared" ca="1" si="44"/>
        <v>Adult</v>
      </c>
    </row>
    <row r="263" spans="1:9" x14ac:dyDescent="0.25">
      <c r="A263" t="str">
        <f t="shared" si="36"/>
        <v>P262</v>
      </c>
      <c r="B263" t="str">
        <f t="shared" ca="1" si="37"/>
        <v>Sarah</v>
      </c>
      <c r="C263" t="str">
        <f t="shared" ca="1" si="38"/>
        <v>Martinez</v>
      </c>
      <c r="D263" t="str">
        <f t="shared" ca="1" si="39"/>
        <v>Sarah Martinez</v>
      </c>
      <c r="E263">
        <f t="shared" ca="1" si="40"/>
        <v>44</v>
      </c>
      <c r="F263" t="str">
        <f t="shared" ca="1" si="41"/>
        <v>Male</v>
      </c>
      <c r="G263" t="str">
        <f t="shared" ca="1" si="42"/>
        <v>Daegu</v>
      </c>
      <c r="H263" s="1">
        <f t="shared" ca="1" si="43"/>
        <v>30244</v>
      </c>
      <c r="I263" t="str">
        <f t="shared" ca="1" si="44"/>
        <v>Adult</v>
      </c>
    </row>
    <row r="264" spans="1:9" x14ac:dyDescent="0.25">
      <c r="A264" t="str">
        <f t="shared" si="36"/>
        <v>P263</v>
      </c>
      <c r="B264" t="str">
        <f t="shared" ca="1" si="37"/>
        <v>Olivia</v>
      </c>
      <c r="C264" t="str">
        <f t="shared" ca="1" si="38"/>
        <v>Johnson</v>
      </c>
      <c r="D264" t="str">
        <f t="shared" ca="1" si="39"/>
        <v>Olivia Johnson</v>
      </c>
      <c r="E264">
        <f t="shared" ca="1" si="40"/>
        <v>63</v>
      </c>
      <c r="F264" t="str">
        <f t="shared" ca="1" si="41"/>
        <v>Male</v>
      </c>
      <c r="G264" t="str">
        <f t="shared" ca="1" si="42"/>
        <v>Daejon</v>
      </c>
      <c r="H264" s="1">
        <f t="shared" ca="1" si="43"/>
        <v>23299</v>
      </c>
      <c r="I264" t="str">
        <f t="shared" ca="1" si="44"/>
        <v>Senior</v>
      </c>
    </row>
    <row r="265" spans="1:9" x14ac:dyDescent="0.25">
      <c r="A265" t="str">
        <f t="shared" si="36"/>
        <v>P264</v>
      </c>
      <c r="B265" t="str">
        <f t="shared" ca="1" si="37"/>
        <v>Sophia</v>
      </c>
      <c r="C265" t="str">
        <f t="shared" ca="1" si="38"/>
        <v>Johnson</v>
      </c>
      <c r="D265" t="str">
        <f t="shared" ca="1" si="39"/>
        <v>Sophia Johnson</v>
      </c>
      <c r="E265">
        <f t="shared" ca="1" si="40"/>
        <v>22</v>
      </c>
      <c r="F265" t="str">
        <f t="shared" ca="1" si="41"/>
        <v>Male</v>
      </c>
      <c r="G265" t="str">
        <f t="shared" ca="1" si="42"/>
        <v>Busan</v>
      </c>
      <c r="H265" s="1">
        <f t="shared" ca="1" si="43"/>
        <v>38237</v>
      </c>
      <c r="I265" t="str">
        <f t="shared" ca="1" si="44"/>
        <v>Young Adult</v>
      </c>
    </row>
    <row r="266" spans="1:9" x14ac:dyDescent="0.25">
      <c r="A266" t="str">
        <f t="shared" si="36"/>
        <v>P265</v>
      </c>
      <c r="B266" t="str">
        <f t="shared" ca="1" si="37"/>
        <v>David</v>
      </c>
      <c r="C266" t="str">
        <f t="shared" ca="1" si="38"/>
        <v>Taylor</v>
      </c>
      <c r="D266" t="str">
        <f t="shared" ca="1" si="39"/>
        <v>David Taylor</v>
      </c>
      <c r="E266">
        <f t="shared" ca="1" si="40"/>
        <v>26</v>
      </c>
      <c r="F266" t="str">
        <f t="shared" ca="1" si="41"/>
        <v>Female</v>
      </c>
      <c r="G266" t="str">
        <f t="shared" ca="1" si="42"/>
        <v>Daejon</v>
      </c>
      <c r="H266" s="1">
        <f t="shared" ca="1" si="43"/>
        <v>36791</v>
      </c>
      <c r="I266" t="str">
        <f t="shared" ca="1" si="44"/>
        <v>Young Adult</v>
      </c>
    </row>
    <row r="267" spans="1:9" x14ac:dyDescent="0.25">
      <c r="A267" t="str">
        <f t="shared" si="36"/>
        <v>P266</v>
      </c>
      <c r="B267" t="str">
        <f t="shared" ca="1" si="37"/>
        <v>Sarah</v>
      </c>
      <c r="C267" t="str">
        <f t="shared" ca="1" si="38"/>
        <v>Moore</v>
      </c>
      <c r="D267" t="str">
        <f t="shared" ca="1" si="39"/>
        <v>Sarah Moore</v>
      </c>
      <c r="E267">
        <f t="shared" ca="1" si="40"/>
        <v>38</v>
      </c>
      <c r="F267" t="str">
        <f t="shared" ca="1" si="41"/>
        <v>Male</v>
      </c>
      <c r="G267" t="str">
        <f t="shared" ca="1" si="42"/>
        <v>Incheon</v>
      </c>
      <c r="H267" s="1">
        <f t="shared" ca="1" si="43"/>
        <v>32265</v>
      </c>
      <c r="I267" t="str">
        <f t="shared" ca="1" si="44"/>
        <v>Adult</v>
      </c>
    </row>
    <row r="268" spans="1:9" x14ac:dyDescent="0.25">
      <c r="A268" t="str">
        <f t="shared" si="36"/>
        <v>P267</v>
      </c>
      <c r="B268" t="str">
        <f t="shared" ca="1" si="37"/>
        <v>Emily</v>
      </c>
      <c r="C268" t="str">
        <f t="shared" ca="1" si="38"/>
        <v>Anderson</v>
      </c>
      <c r="D268" t="str">
        <f t="shared" ca="1" si="39"/>
        <v>Emily Anderson</v>
      </c>
      <c r="E268">
        <f t="shared" ca="1" si="40"/>
        <v>24</v>
      </c>
      <c r="F268" t="str">
        <f t="shared" ca="1" si="41"/>
        <v>Female</v>
      </c>
      <c r="G268" t="str">
        <f t="shared" ca="1" si="42"/>
        <v>Seoul</v>
      </c>
      <c r="H268" s="1">
        <f t="shared" ca="1" si="43"/>
        <v>37523</v>
      </c>
      <c r="I268" t="str">
        <f t="shared" ca="1" si="44"/>
        <v>Young Adult</v>
      </c>
    </row>
    <row r="269" spans="1:9" x14ac:dyDescent="0.25">
      <c r="A269" t="str">
        <f t="shared" si="36"/>
        <v>P268</v>
      </c>
      <c r="B269" t="str">
        <f t="shared" ca="1" si="37"/>
        <v>Sarah</v>
      </c>
      <c r="C269" t="str">
        <f t="shared" ca="1" si="38"/>
        <v>Martinez</v>
      </c>
      <c r="D269" t="str">
        <f t="shared" ca="1" si="39"/>
        <v>Sarah Martinez</v>
      </c>
      <c r="E269">
        <f t="shared" ca="1" si="40"/>
        <v>61</v>
      </c>
      <c r="F269" t="str">
        <f t="shared" ca="1" si="41"/>
        <v>Female</v>
      </c>
      <c r="G269" t="str">
        <f t="shared" ca="1" si="42"/>
        <v>Busan</v>
      </c>
      <c r="H269" s="1">
        <f t="shared" ca="1" si="43"/>
        <v>23755</v>
      </c>
      <c r="I269" t="str">
        <f t="shared" ca="1" si="44"/>
        <v>Senior</v>
      </c>
    </row>
    <row r="270" spans="1:9" x14ac:dyDescent="0.25">
      <c r="A270" t="str">
        <f t="shared" si="36"/>
        <v>P269</v>
      </c>
      <c r="B270" t="str">
        <f t="shared" ca="1" si="37"/>
        <v>David</v>
      </c>
      <c r="C270" t="str">
        <f t="shared" ca="1" si="38"/>
        <v>Moore</v>
      </c>
      <c r="D270" t="str">
        <f t="shared" ca="1" si="39"/>
        <v>David Moore</v>
      </c>
      <c r="E270">
        <f t="shared" ca="1" si="40"/>
        <v>30</v>
      </c>
      <c r="F270" t="str">
        <f t="shared" ca="1" si="41"/>
        <v>Male</v>
      </c>
      <c r="G270" t="str">
        <f t="shared" ca="1" si="42"/>
        <v>Daejon</v>
      </c>
      <c r="H270" s="1">
        <f t="shared" ca="1" si="43"/>
        <v>35323</v>
      </c>
      <c r="I270" t="str">
        <f t="shared" ca="1" si="44"/>
        <v>Adult</v>
      </c>
    </row>
    <row r="271" spans="1:9" x14ac:dyDescent="0.25">
      <c r="A271" t="str">
        <f t="shared" si="36"/>
        <v>P270</v>
      </c>
      <c r="B271" t="str">
        <f t="shared" ca="1" si="37"/>
        <v>Daniel</v>
      </c>
      <c r="C271" t="str">
        <f t="shared" ca="1" si="38"/>
        <v>Martinez</v>
      </c>
      <c r="D271" t="str">
        <f t="shared" ca="1" si="39"/>
        <v>Daniel Martinez</v>
      </c>
      <c r="E271">
        <f t="shared" ca="1" si="40"/>
        <v>40</v>
      </c>
      <c r="F271" t="str">
        <f t="shared" ca="1" si="41"/>
        <v>Female</v>
      </c>
      <c r="G271" t="str">
        <f t="shared" ca="1" si="42"/>
        <v>Daejon</v>
      </c>
      <c r="H271" s="1">
        <f t="shared" ca="1" si="43"/>
        <v>31499</v>
      </c>
      <c r="I271" t="str">
        <f t="shared" ca="1" si="44"/>
        <v>Adult</v>
      </c>
    </row>
    <row r="272" spans="1:9" x14ac:dyDescent="0.25">
      <c r="A272" t="str">
        <f t="shared" si="36"/>
        <v>P271</v>
      </c>
      <c r="B272" t="str">
        <f t="shared" ca="1" si="37"/>
        <v>James</v>
      </c>
      <c r="C272" t="str">
        <f t="shared" ca="1" si="38"/>
        <v>Davis</v>
      </c>
      <c r="D272" t="str">
        <f t="shared" ca="1" si="39"/>
        <v>James Davis</v>
      </c>
      <c r="E272">
        <f t="shared" ca="1" si="40"/>
        <v>46</v>
      </c>
      <c r="F272" t="str">
        <f t="shared" ca="1" si="41"/>
        <v>Male</v>
      </c>
      <c r="G272" t="str">
        <f t="shared" ca="1" si="42"/>
        <v>Busan</v>
      </c>
      <c r="H272" s="1">
        <f t="shared" ca="1" si="43"/>
        <v>29394</v>
      </c>
      <c r="I272" t="str">
        <f t="shared" ca="1" si="44"/>
        <v>Adult</v>
      </c>
    </row>
    <row r="273" spans="1:9" x14ac:dyDescent="0.25">
      <c r="A273" t="str">
        <f t="shared" si="36"/>
        <v>P272</v>
      </c>
      <c r="B273" t="str">
        <f t="shared" ca="1" si="37"/>
        <v>Maria</v>
      </c>
      <c r="C273" t="str">
        <f t="shared" ca="1" si="38"/>
        <v>Smith</v>
      </c>
      <c r="D273" t="str">
        <f t="shared" ca="1" si="39"/>
        <v>Maria Smith</v>
      </c>
      <c r="E273">
        <f t="shared" ca="1" si="40"/>
        <v>38</v>
      </c>
      <c r="F273" t="str">
        <f t="shared" ca="1" si="41"/>
        <v>Female</v>
      </c>
      <c r="G273" t="str">
        <f t="shared" ca="1" si="42"/>
        <v>Daejon</v>
      </c>
      <c r="H273" s="1">
        <f t="shared" ca="1" si="43"/>
        <v>32467</v>
      </c>
      <c r="I273" t="str">
        <f t="shared" ca="1" si="44"/>
        <v>Adult</v>
      </c>
    </row>
    <row r="274" spans="1:9" x14ac:dyDescent="0.25">
      <c r="A274" t="str">
        <f t="shared" si="36"/>
        <v>P273</v>
      </c>
      <c r="B274" t="str">
        <f t="shared" ca="1" si="37"/>
        <v>Sophia</v>
      </c>
      <c r="C274" t="str">
        <f t="shared" ca="1" si="38"/>
        <v>Moore</v>
      </c>
      <c r="D274" t="str">
        <f t="shared" ca="1" si="39"/>
        <v>Sophia Moore</v>
      </c>
      <c r="E274">
        <f t="shared" ca="1" si="40"/>
        <v>56</v>
      </c>
      <c r="F274" t="str">
        <f t="shared" ca="1" si="41"/>
        <v>Female</v>
      </c>
      <c r="G274" t="str">
        <f t="shared" ca="1" si="42"/>
        <v>Daegu</v>
      </c>
      <c r="H274" s="1">
        <f t="shared" ca="1" si="43"/>
        <v>25674</v>
      </c>
      <c r="I274" t="str">
        <f t="shared" ca="1" si="44"/>
        <v>Senior</v>
      </c>
    </row>
    <row r="275" spans="1:9" x14ac:dyDescent="0.25">
      <c r="A275" t="str">
        <f t="shared" si="36"/>
        <v>P274</v>
      </c>
      <c r="B275" t="str">
        <f t="shared" ca="1" si="37"/>
        <v>William</v>
      </c>
      <c r="C275" t="str">
        <f t="shared" ca="1" si="38"/>
        <v>Smith</v>
      </c>
      <c r="D275" t="str">
        <f t="shared" ca="1" si="39"/>
        <v>William Smith</v>
      </c>
      <c r="E275">
        <f t="shared" ca="1" si="40"/>
        <v>48</v>
      </c>
      <c r="F275" t="str">
        <f t="shared" ca="1" si="41"/>
        <v>Male</v>
      </c>
      <c r="G275" t="str">
        <f t="shared" ca="1" si="42"/>
        <v>Seoul</v>
      </c>
      <c r="H275" s="1">
        <f t="shared" ca="1" si="43"/>
        <v>28540</v>
      </c>
      <c r="I275" t="str">
        <f t="shared" ca="1" si="44"/>
        <v>Adult</v>
      </c>
    </row>
    <row r="276" spans="1:9" x14ac:dyDescent="0.25">
      <c r="A276" t="str">
        <f t="shared" si="36"/>
        <v>P275</v>
      </c>
      <c r="B276" t="str">
        <f t="shared" ca="1" si="37"/>
        <v>Sarah</v>
      </c>
      <c r="C276" t="str">
        <f t="shared" ca="1" si="38"/>
        <v>Wilson</v>
      </c>
      <c r="D276" t="str">
        <f t="shared" ca="1" si="39"/>
        <v>Sarah Wilson</v>
      </c>
      <c r="E276">
        <f t="shared" ca="1" si="40"/>
        <v>43</v>
      </c>
      <c r="F276" t="str">
        <f t="shared" ca="1" si="41"/>
        <v>Male</v>
      </c>
      <c r="G276" t="str">
        <f t="shared" ca="1" si="42"/>
        <v>Seoul</v>
      </c>
      <c r="H276" s="1">
        <f t="shared" ca="1" si="43"/>
        <v>30581</v>
      </c>
      <c r="I276" t="str">
        <f t="shared" ca="1" si="44"/>
        <v>Adult</v>
      </c>
    </row>
    <row r="277" spans="1:9" x14ac:dyDescent="0.25">
      <c r="A277" t="str">
        <f t="shared" si="36"/>
        <v>P276</v>
      </c>
      <c r="B277" t="str">
        <f t="shared" ca="1" si="37"/>
        <v>Sarah</v>
      </c>
      <c r="C277" t="str">
        <f t="shared" ca="1" si="38"/>
        <v>Johnson</v>
      </c>
      <c r="D277" t="str">
        <f t="shared" ca="1" si="39"/>
        <v>Sarah Johnson</v>
      </c>
      <c r="E277">
        <f t="shared" ca="1" si="40"/>
        <v>50</v>
      </c>
      <c r="F277" t="str">
        <f t="shared" ca="1" si="41"/>
        <v>Male</v>
      </c>
      <c r="G277" t="str">
        <f t="shared" ca="1" si="42"/>
        <v>Daejon</v>
      </c>
      <c r="H277" s="1">
        <f t="shared" ca="1" si="43"/>
        <v>27857</v>
      </c>
      <c r="I277" t="str">
        <f t="shared" ca="1" si="44"/>
        <v>Senior</v>
      </c>
    </row>
    <row r="278" spans="1:9" x14ac:dyDescent="0.25">
      <c r="A278" t="str">
        <f t="shared" si="36"/>
        <v>P277</v>
      </c>
      <c r="B278" t="str">
        <f t="shared" ca="1" si="37"/>
        <v>William</v>
      </c>
      <c r="C278" t="str">
        <f t="shared" ca="1" si="38"/>
        <v>Garcia</v>
      </c>
      <c r="D278" t="str">
        <f t="shared" ca="1" si="39"/>
        <v>William Garcia</v>
      </c>
      <c r="E278">
        <f t="shared" ca="1" si="40"/>
        <v>53</v>
      </c>
      <c r="F278" t="str">
        <f t="shared" ca="1" si="41"/>
        <v>Male</v>
      </c>
      <c r="G278" t="str">
        <f t="shared" ca="1" si="42"/>
        <v>Seoul</v>
      </c>
      <c r="H278" s="1">
        <f t="shared" ca="1" si="43"/>
        <v>26929</v>
      </c>
      <c r="I278" t="str">
        <f t="shared" ca="1" si="44"/>
        <v>Senior</v>
      </c>
    </row>
    <row r="279" spans="1:9" x14ac:dyDescent="0.25">
      <c r="A279" t="str">
        <f t="shared" si="36"/>
        <v>P278</v>
      </c>
      <c r="B279" t="str">
        <f t="shared" ca="1" si="37"/>
        <v>Sarah</v>
      </c>
      <c r="C279" t="str">
        <f t="shared" ca="1" si="38"/>
        <v>Taylor</v>
      </c>
      <c r="D279" t="str">
        <f t="shared" ca="1" si="39"/>
        <v>Sarah Taylor</v>
      </c>
      <c r="E279">
        <f t="shared" ca="1" si="40"/>
        <v>25</v>
      </c>
      <c r="F279" t="str">
        <f t="shared" ca="1" si="41"/>
        <v>Female</v>
      </c>
      <c r="G279" t="str">
        <f t="shared" ca="1" si="42"/>
        <v>Busan</v>
      </c>
      <c r="H279" s="1">
        <f t="shared" ca="1" si="43"/>
        <v>37046</v>
      </c>
      <c r="I279" t="str">
        <f t="shared" ca="1" si="44"/>
        <v>Young Adult</v>
      </c>
    </row>
    <row r="280" spans="1:9" x14ac:dyDescent="0.25">
      <c r="A280" t="str">
        <f t="shared" si="36"/>
        <v>P279</v>
      </c>
      <c r="B280" t="str">
        <f t="shared" ca="1" si="37"/>
        <v>Sophia</v>
      </c>
      <c r="C280" t="str">
        <f t="shared" ca="1" si="38"/>
        <v>Taylor</v>
      </c>
      <c r="D280" t="str">
        <f t="shared" ca="1" si="39"/>
        <v>Sophia Taylor</v>
      </c>
      <c r="E280">
        <f t="shared" ca="1" si="40"/>
        <v>70</v>
      </c>
      <c r="F280" t="str">
        <f t="shared" ca="1" si="41"/>
        <v>Female</v>
      </c>
      <c r="G280" t="str">
        <f t="shared" ca="1" si="42"/>
        <v>Daejon</v>
      </c>
      <c r="H280" s="1">
        <f t="shared" ca="1" si="43"/>
        <v>20808</v>
      </c>
      <c r="I280" t="str">
        <f t="shared" ca="1" si="44"/>
        <v>Senior</v>
      </c>
    </row>
    <row r="281" spans="1:9" x14ac:dyDescent="0.25">
      <c r="A281" t="str">
        <f t="shared" si="36"/>
        <v>P280</v>
      </c>
      <c r="B281" t="str">
        <f t="shared" ca="1" si="37"/>
        <v>Olivia</v>
      </c>
      <c r="C281" t="str">
        <f t="shared" ca="1" si="38"/>
        <v>Moore</v>
      </c>
      <c r="D281" t="str">
        <f t="shared" ca="1" si="39"/>
        <v>Olivia Moore</v>
      </c>
      <c r="E281">
        <f t="shared" ca="1" si="40"/>
        <v>48</v>
      </c>
      <c r="F281" t="str">
        <f t="shared" ca="1" si="41"/>
        <v>Female</v>
      </c>
      <c r="G281" t="str">
        <f t="shared" ca="1" si="42"/>
        <v>Daegu</v>
      </c>
      <c r="H281" s="1">
        <f t="shared" ca="1" si="43"/>
        <v>28628</v>
      </c>
      <c r="I281" t="str">
        <f t="shared" ca="1" si="44"/>
        <v>Adult</v>
      </c>
    </row>
    <row r="282" spans="1:9" x14ac:dyDescent="0.25">
      <c r="A282" t="str">
        <f t="shared" si="36"/>
        <v>P281</v>
      </c>
      <c r="B282" t="str">
        <f t="shared" ca="1" si="37"/>
        <v>Sarah</v>
      </c>
      <c r="C282" t="str">
        <f t="shared" ca="1" si="38"/>
        <v>Taylor</v>
      </c>
      <c r="D282" t="str">
        <f t="shared" ca="1" si="39"/>
        <v>Sarah Taylor</v>
      </c>
      <c r="E282">
        <f t="shared" ca="1" si="40"/>
        <v>46</v>
      </c>
      <c r="F282" t="str">
        <f t="shared" ca="1" si="41"/>
        <v>Female</v>
      </c>
      <c r="G282" t="str">
        <f t="shared" ca="1" si="42"/>
        <v>Seoul</v>
      </c>
      <c r="H282" s="1">
        <f t="shared" ca="1" si="43"/>
        <v>29296</v>
      </c>
      <c r="I282" t="str">
        <f t="shared" ca="1" si="44"/>
        <v>Adult</v>
      </c>
    </row>
    <row r="283" spans="1:9" x14ac:dyDescent="0.25">
      <c r="A283" t="str">
        <f t="shared" si="36"/>
        <v>P282</v>
      </c>
      <c r="B283" t="str">
        <f t="shared" ca="1" si="37"/>
        <v>William</v>
      </c>
      <c r="C283" t="str">
        <f t="shared" ca="1" si="38"/>
        <v>Martinez</v>
      </c>
      <c r="D283" t="str">
        <f t="shared" ca="1" si="39"/>
        <v>William Martinez</v>
      </c>
      <c r="E283">
        <f t="shared" ca="1" si="40"/>
        <v>34</v>
      </c>
      <c r="F283" t="str">
        <f t="shared" ca="1" si="41"/>
        <v>Female</v>
      </c>
      <c r="G283" t="str">
        <f t="shared" ca="1" si="42"/>
        <v>Seoul</v>
      </c>
      <c r="H283" s="1">
        <f t="shared" ca="1" si="43"/>
        <v>33734</v>
      </c>
      <c r="I283" t="str">
        <f t="shared" ca="1" si="44"/>
        <v>Adult</v>
      </c>
    </row>
    <row r="284" spans="1:9" x14ac:dyDescent="0.25">
      <c r="A284" t="str">
        <f t="shared" si="36"/>
        <v>P283</v>
      </c>
      <c r="B284" t="str">
        <f t="shared" ca="1" si="37"/>
        <v>Michael</v>
      </c>
      <c r="C284" t="str">
        <f t="shared" ca="1" si="38"/>
        <v>Smith</v>
      </c>
      <c r="D284" t="str">
        <f t="shared" ca="1" si="39"/>
        <v>Michael Smith</v>
      </c>
      <c r="E284">
        <f t="shared" ca="1" si="40"/>
        <v>68</v>
      </c>
      <c r="F284" t="str">
        <f t="shared" ca="1" si="41"/>
        <v>Female</v>
      </c>
      <c r="G284" t="str">
        <f t="shared" ca="1" si="42"/>
        <v>Busan</v>
      </c>
      <c r="H284" s="1">
        <f t="shared" ca="1" si="43"/>
        <v>21547</v>
      </c>
      <c r="I284" t="str">
        <f t="shared" ca="1" si="44"/>
        <v>Senior</v>
      </c>
    </row>
    <row r="285" spans="1:9" x14ac:dyDescent="0.25">
      <c r="A285" t="str">
        <f t="shared" si="36"/>
        <v>P284</v>
      </c>
      <c r="B285" t="str">
        <f t="shared" ca="1" si="37"/>
        <v>Daniel</v>
      </c>
      <c r="C285" t="str">
        <f t="shared" ca="1" si="38"/>
        <v>Wilson</v>
      </c>
      <c r="D285" t="str">
        <f t="shared" ca="1" si="39"/>
        <v>Daniel Wilson</v>
      </c>
      <c r="E285">
        <f t="shared" ca="1" si="40"/>
        <v>32</v>
      </c>
      <c r="F285" t="str">
        <f t="shared" ca="1" si="41"/>
        <v>Female</v>
      </c>
      <c r="G285" t="str">
        <f t="shared" ca="1" si="42"/>
        <v>Seoul</v>
      </c>
      <c r="H285" s="1">
        <f t="shared" ca="1" si="43"/>
        <v>34385</v>
      </c>
      <c r="I285" t="str">
        <f t="shared" ca="1" si="44"/>
        <v>Adult</v>
      </c>
    </row>
    <row r="286" spans="1:9" x14ac:dyDescent="0.25">
      <c r="A286" t="str">
        <f t="shared" si="36"/>
        <v>P285</v>
      </c>
      <c r="B286" t="str">
        <f t="shared" ca="1" si="37"/>
        <v>David</v>
      </c>
      <c r="C286" t="str">
        <f t="shared" ca="1" si="38"/>
        <v>Johnson</v>
      </c>
      <c r="D286" t="str">
        <f t="shared" ca="1" si="39"/>
        <v>David Johnson</v>
      </c>
      <c r="E286">
        <f t="shared" ca="1" si="40"/>
        <v>54</v>
      </c>
      <c r="F286" t="str">
        <f t="shared" ca="1" si="41"/>
        <v>Female</v>
      </c>
      <c r="G286" t="str">
        <f t="shared" ca="1" si="42"/>
        <v>Daegu</v>
      </c>
      <c r="H286" s="1">
        <f t="shared" ca="1" si="43"/>
        <v>26537</v>
      </c>
      <c r="I286" t="str">
        <f t="shared" ca="1" si="44"/>
        <v>Senior</v>
      </c>
    </row>
    <row r="287" spans="1:9" x14ac:dyDescent="0.25">
      <c r="A287" t="str">
        <f t="shared" si="36"/>
        <v>P286</v>
      </c>
      <c r="B287" t="str">
        <f t="shared" ca="1" si="37"/>
        <v>James</v>
      </c>
      <c r="C287" t="str">
        <f t="shared" ca="1" si="38"/>
        <v>Brown</v>
      </c>
      <c r="D287" t="str">
        <f t="shared" ca="1" si="39"/>
        <v>James Brown</v>
      </c>
      <c r="E287">
        <f t="shared" ca="1" si="40"/>
        <v>56</v>
      </c>
      <c r="F287" t="str">
        <f t="shared" ca="1" si="41"/>
        <v>Female</v>
      </c>
      <c r="G287" t="str">
        <f t="shared" ca="1" si="42"/>
        <v>Daejon</v>
      </c>
      <c r="H287" s="1">
        <f t="shared" ca="1" si="43"/>
        <v>25804</v>
      </c>
      <c r="I287" t="str">
        <f t="shared" ca="1" si="44"/>
        <v>Senior</v>
      </c>
    </row>
    <row r="288" spans="1:9" x14ac:dyDescent="0.25">
      <c r="A288" t="str">
        <f t="shared" si="36"/>
        <v>P287</v>
      </c>
      <c r="B288" t="str">
        <f t="shared" ca="1" si="37"/>
        <v>Michael</v>
      </c>
      <c r="C288" t="str">
        <f t="shared" ca="1" si="38"/>
        <v>Wilson</v>
      </c>
      <c r="D288" t="str">
        <f t="shared" ca="1" si="39"/>
        <v>Michael Wilson</v>
      </c>
      <c r="E288">
        <f t="shared" ca="1" si="40"/>
        <v>61</v>
      </c>
      <c r="F288" t="str">
        <f t="shared" ca="1" si="41"/>
        <v>Female</v>
      </c>
      <c r="G288" t="str">
        <f t="shared" ca="1" si="42"/>
        <v>Daegu</v>
      </c>
      <c r="H288" s="1">
        <f t="shared" ca="1" si="43"/>
        <v>23988</v>
      </c>
      <c r="I288" t="str">
        <f t="shared" ca="1" si="44"/>
        <v>Senior</v>
      </c>
    </row>
    <row r="289" spans="1:9" x14ac:dyDescent="0.25">
      <c r="A289" t="str">
        <f t="shared" si="36"/>
        <v>P288</v>
      </c>
      <c r="B289" t="str">
        <f t="shared" ca="1" si="37"/>
        <v>Daniel</v>
      </c>
      <c r="C289" t="str">
        <f t="shared" ca="1" si="38"/>
        <v>Moore</v>
      </c>
      <c r="D289" t="str">
        <f t="shared" ca="1" si="39"/>
        <v>Daniel Moore</v>
      </c>
      <c r="E289">
        <f t="shared" ca="1" si="40"/>
        <v>66</v>
      </c>
      <c r="F289" t="str">
        <f t="shared" ca="1" si="41"/>
        <v>Female</v>
      </c>
      <c r="G289" t="str">
        <f t="shared" ca="1" si="42"/>
        <v>Busan</v>
      </c>
      <c r="H289" s="1">
        <f t="shared" ca="1" si="43"/>
        <v>22178</v>
      </c>
      <c r="I289" t="str">
        <f t="shared" ca="1" si="44"/>
        <v>Senior</v>
      </c>
    </row>
    <row r="290" spans="1:9" x14ac:dyDescent="0.25">
      <c r="A290" t="str">
        <f t="shared" si="36"/>
        <v>P289</v>
      </c>
      <c r="B290" t="str">
        <f t="shared" ca="1" si="37"/>
        <v>Emily</v>
      </c>
      <c r="C290" t="str">
        <f t="shared" ca="1" si="38"/>
        <v>Anderson</v>
      </c>
      <c r="D290" t="str">
        <f t="shared" ca="1" si="39"/>
        <v>Emily Anderson</v>
      </c>
      <c r="E290">
        <f t="shared" ca="1" si="40"/>
        <v>48</v>
      </c>
      <c r="F290" t="str">
        <f t="shared" ca="1" si="41"/>
        <v>Male</v>
      </c>
      <c r="G290" t="str">
        <f t="shared" ca="1" si="42"/>
        <v>Daegu</v>
      </c>
      <c r="H290" s="1">
        <f t="shared" ca="1" si="43"/>
        <v>28614</v>
      </c>
      <c r="I290" t="str">
        <f t="shared" ca="1" si="44"/>
        <v>Adult</v>
      </c>
    </row>
    <row r="291" spans="1:9" x14ac:dyDescent="0.25">
      <c r="A291" t="str">
        <f t="shared" si="36"/>
        <v>P290</v>
      </c>
      <c r="B291" t="str">
        <f t="shared" ca="1" si="37"/>
        <v>James</v>
      </c>
      <c r="C291" t="str">
        <f t="shared" ca="1" si="38"/>
        <v>Moore</v>
      </c>
      <c r="D291" t="str">
        <f t="shared" ca="1" si="39"/>
        <v>James Moore</v>
      </c>
      <c r="E291">
        <f t="shared" ca="1" si="40"/>
        <v>35</v>
      </c>
      <c r="F291" t="str">
        <f t="shared" ca="1" si="41"/>
        <v>Female</v>
      </c>
      <c r="G291" t="str">
        <f t="shared" ca="1" si="42"/>
        <v>Seoul</v>
      </c>
      <c r="H291" s="1">
        <f t="shared" ca="1" si="43"/>
        <v>33368</v>
      </c>
      <c r="I291" t="str">
        <f t="shared" ca="1" si="44"/>
        <v>Adult</v>
      </c>
    </row>
    <row r="292" spans="1:9" x14ac:dyDescent="0.25">
      <c r="A292" t="str">
        <f t="shared" si="36"/>
        <v>P291</v>
      </c>
      <c r="B292" t="str">
        <f t="shared" ca="1" si="37"/>
        <v>Olivia</v>
      </c>
      <c r="C292" t="str">
        <f t="shared" ca="1" si="38"/>
        <v>Garcia</v>
      </c>
      <c r="D292" t="str">
        <f t="shared" ca="1" si="39"/>
        <v>Olivia Garcia</v>
      </c>
      <c r="E292">
        <f t="shared" ca="1" si="40"/>
        <v>64</v>
      </c>
      <c r="F292" t="str">
        <f t="shared" ca="1" si="41"/>
        <v>Female</v>
      </c>
      <c r="G292" t="str">
        <f t="shared" ca="1" si="42"/>
        <v>Daegu</v>
      </c>
      <c r="H292" s="1">
        <f t="shared" ca="1" si="43"/>
        <v>22753</v>
      </c>
      <c r="I292" t="str">
        <f t="shared" ca="1" si="44"/>
        <v>Senior</v>
      </c>
    </row>
    <row r="293" spans="1:9" x14ac:dyDescent="0.25">
      <c r="A293" t="str">
        <f t="shared" si="36"/>
        <v>P292</v>
      </c>
      <c r="B293" t="str">
        <f t="shared" ca="1" si="37"/>
        <v>David</v>
      </c>
      <c r="C293" t="str">
        <f t="shared" ca="1" si="38"/>
        <v>Moore</v>
      </c>
      <c r="D293" t="str">
        <f t="shared" ca="1" si="39"/>
        <v>David Moore</v>
      </c>
      <c r="E293">
        <f t="shared" ca="1" si="40"/>
        <v>28</v>
      </c>
      <c r="F293" t="str">
        <f t="shared" ca="1" si="41"/>
        <v>Male</v>
      </c>
      <c r="G293" t="str">
        <f t="shared" ca="1" si="42"/>
        <v>Busan</v>
      </c>
      <c r="H293" s="1">
        <f t="shared" ca="1" si="43"/>
        <v>36018</v>
      </c>
      <c r="I293" t="str">
        <f t="shared" ca="1" si="44"/>
        <v>Young Adult</v>
      </c>
    </row>
    <row r="294" spans="1:9" x14ac:dyDescent="0.25">
      <c r="A294" t="str">
        <f t="shared" si="36"/>
        <v>P293</v>
      </c>
      <c r="B294" t="str">
        <f t="shared" ca="1" si="37"/>
        <v>Emily</v>
      </c>
      <c r="C294" t="str">
        <f t="shared" ca="1" si="38"/>
        <v>Wilson</v>
      </c>
      <c r="D294" t="str">
        <f t="shared" ca="1" si="39"/>
        <v>Emily Wilson</v>
      </c>
      <c r="E294">
        <f t="shared" ca="1" si="40"/>
        <v>43</v>
      </c>
      <c r="F294" t="str">
        <f t="shared" ca="1" si="41"/>
        <v>Male</v>
      </c>
      <c r="G294" t="str">
        <f t="shared" ca="1" si="42"/>
        <v>Daegu</v>
      </c>
      <c r="H294" s="1">
        <f t="shared" ca="1" si="43"/>
        <v>30536</v>
      </c>
      <c r="I294" t="str">
        <f t="shared" ca="1" si="44"/>
        <v>Adult</v>
      </c>
    </row>
    <row r="295" spans="1:9" x14ac:dyDescent="0.25">
      <c r="A295" t="str">
        <f t="shared" si="36"/>
        <v>P294</v>
      </c>
      <c r="B295" t="str">
        <f t="shared" ca="1" si="37"/>
        <v>Sophia</v>
      </c>
      <c r="C295" t="str">
        <f t="shared" ca="1" si="38"/>
        <v>Johnson</v>
      </c>
      <c r="D295" t="str">
        <f t="shared" ca="1" si="39"/>
        <v>Sophia Johnson</v>
      </c>
      <c r="E295">
        <f t="shared" ca="1" si="40"/>
        <v>24</v>
      </c>
      <c r="F295" t="str">
        <f t="shared" ca="1" si="41"/>
        <v>Female</v>
      </c>
      <c r="G295" t="str">
        <f t="shared" ca="1" si="42"/>
        <v>Incheon</v>
      </c>
      <c r="H295" s="1">
        <f t="shared" ca="1" si="43"/>
        <v>37377</v>
      </c>
      <c r="I295" t="str">
        <f t="shared" ca="1" si="44"/>
        <v>Young Adult</v>
      </c>
    </row>
    <row r="296" spans="1:9" x14ac:dyDescent="0.25">
      <c r="A296" t="str">
        <f t="shared" si="36"/>
        <v>P295</v>
      </c>
      <c r="B296" t="str">
        <f t="shared" ca="1" si="37"/>
        <v>James</v>
      </c>
      <c r="C296" t="str">
        <f t="shared" ca="1" si="38"/>
        <v>Garcia</v>
      </c>
      <c r="D296" t="str">
        <f t="shared" ca="1" si="39"/>
        <v>James Garcia</v>
      </c>
      <c r="E296">
        <f t="shared" ca="1" si="40"/>
        <v>59</v>
      </c>
      <c r="F296" t="str">
        <f t="shared" ca="1" si="41"/>
        <v>Female</v>
      </c>
      <c r="G296" t="str">
        <f t="shared" ca="1" si="42"/>
        <v>Busan</v>
      </c>
      <c r="H296" s="1">
        <f t="shared" ca="1" si="43"/>
        <v>24649</v>
      </c>
      <c r="I296" t="str">
        <f t="shared" ca="1" si="44"/>
        <v>Senior</v>
      </c>
    </row>
    <row r="297" spans="1:9" x14ac:dyDescent="0.25">
      <c r="A297" t="str">
        <f t="shared" si="36"/>
        <v>P296</v>
      </c>
      <c r="B297" t="str">
        <f t="shared" ca="1" si="37"/>
        <v>David</v>
      </c>
      <c r="C297" t="str">
        <f t="shared" ca="1" si="38"/>
        <v>Anderson</v>
      </c>
      <c r="D297" t="str">
        <f t="shared" ca="1" si="39"/>
        <v>David Anderson</v>
      </c>
      <c r="E297">
        <f t="shared" ca="1" si="40"/>
        <v>54</v>
      </c>
      <c r="F297" t="str">
        <f t="shared" ca="1" si="41"/>
        <v>Male</v>
      </c>
      <c r="G297" t="str">
        <f t="shared" ca="1" si="42"/>
        <v>Incheon</v>
      </c>
      <c r="H297" s="1">
        <f t="shared" ca="1" si="43"/>
        <v>26367</v>
      </c>
      <c r="I297" t="str">
        <f t="shared" ca="1" si="44"/>
        <v>Senior</v>
      </c>
    </row>
    <row r="298" spans="1:9" x14ac:dyDescent="0.25">
      <c r="A298" t="str">
        <f t="shared" si="36"/>
        <v>P297</v>
      </c>
      <c r="B298" t="str">
        <f t="shared" ca="1" si="37"/>
        <v>Michael</v>
      </c>
      <c r="C298" t="str">
        <f t="shared" ca="1" si="38"/>
        <v>Smith</v>
      </c>
      <c r="D298" t="str">
        <f t="shared" ca="1" si="39"/>
        <v>Michael Smith</v>
      </c>
      <c r="E298">
        <f t="shared" ca="1" si="40"/>
        <v>66</v>
      </c>
      <c r="F298" t="str">
        <f t="shared" ca="1" si="41"/>
        <v>Female</v>
      </c>
      <c r="G298" t="str">
        <f t="shared" ca="1" si="42"/>
        <v>Seoul</v>
      </c>
      <c r="H298" s="1">
        <f t="shared" ca="1" si="43"/>
        <v>21991</v>
      </c>
      <c r="I298" t="str">
        <f t="shared" ca="1" si="44"/>
        <v>Senior</v>
      </c>
    </row>
    <row r="299" spans="1:9" x14ac:dyDescent="0.25">
      <c r="A299" t="str">
        <f t="shared" si="36"/>
        <v>P298</v>
      </c>
      <c r="B299" t="str">
        <f t="shared" ca="1" si="37"/>
        <v>William</v>
      </c>
      <c r="C299" t="str">
        <f t="shared" ca="1" si="38"/>
        <v>Martinez</v>
      </c>
      <c r="D299" t="str">
        <f t="shared" ca="1" si="39"/>
        <v>William Martinez</v>
      </c>
      <c r="E299">
        <f t="shared" ca="1" si="40"/>
        <v>62</v>
      </c>
      <c r="F299" t="str">
        <f t="shared" ca="1" si="41"/>
        <v>Female</v>
      </c>
      <c r="G299" t="str">
        <f t="shared" ca="1" si="42"/>
        <v>Incheon</v>
      </c>
      <c r="H299" s="1">
        <f t="shared" ca="1" si="43"/>
        <v>23672</v>
      </c>
      <c r="I299" t="str">
        <f t="shared" ca="1" si="44"/>
        <v>Senior</v>
      </c>
    </row>
    <row r="300" spans="1:9" x14ac:dyDescent="0.25">
      <c r="A300" t="str">
        <f t="shared" si="36"/>
        <v>P299</v>
      </c>
      <c r="B300" t="str">
        <f t="shared" ca="1" si="37"/>
        <v>Michael</v>
      </c>
      <c r="C300" t="str">
        <f t="shared" ca="1" si="38"/>
        <v>Martinez</v>
      </c>
      <c r="D300" t="str">
        <f t="shared" ca="1" si="39"/>
        <v>Michael Martinez</v>
      </c>
      <c r="E300">
        <f t="shared" ca="1" si="40"/>
        <v>43</v>
      </c>
      <c r="F300" t="str">
        <f t="shared" ca="1" si="41"/>
        <v>Male</v>
      </c>
      <c r="G300" t="str">
        <f t="shared" ca="1" si="42"/>
        <v>Daejon</v>
      </c>
      <c r="H300" s="1">
        <f t="shared" ca="1" si="43"/>
        <v>30429</v>
      </c>
      <c r="I300" t="str">
        <f t="shared" ca="1" si="44"/>
        <v>Adult</v>
      </c>
    </row>
    <row r="301" spans="1:9" x14ac:dyDescent="0.25">
      <c r="A301" t="str">
        <f t="shared" si="36"/>
        <v>P300</v>
      </c>
      <c r="B301" t="str">
        <f t="shared" ca="1" si="37"/>
        <v>David</v>
      </c>
      <c r="C301" t="str">
        <f t="shared" ca="1" si="38"/>
        <v>Smith</v>
      </c>
      <c r="D301" t="str">
        <f t="shared" ca="1" si="39"/>
        <v>David Smith</v>
      </c>
      <c r="E301">
        <f t="shared" ca="1" si="40"/>
        <v>33</v>
      </c>
      <c r="F301" t="str">
        <f t="shared" ca="1" si="41"/>
        <v>Male</v>
      </c>
      <c r="G301" t="str">
        <f t="shared" ca="1" si="42"/>
        <v>Daejon</v>
      </c>
      <c r="H301" s="1">
        <f t="shared" ca="1" si="43"/>
        <v>34100</v>
      </c>
      <c r="I301" t="str">
        <f t="shared" ca="1" si="44"/>
        <v>Adult</v>
      </c>
    </row>
    <row r="302" spans="1:9" x14ac:dyDescent="0.25">
      <c r="A302" t="str">
        <f t="shared" si="36"/>
        <v>P301</v>
      </c>
      <c r="B302" t="str">
        <f t="shared" ca="1" si="37"/>
        <v>James</v>
      </c>
      <c r="C302" t="str">
        <f t="shared" ca="1" si="38"/>
        <v>Wilson</v>
      </c>
      <c r="D302" t="str">
        <f t="shared" ca="1" si="39"/>
        <v>James Wilson</v>
      </c>
      <c r="E302">
        <f t="shared" ca="1" si="40"/>
        <v>20</v>
      </c>
      <c r="F302" t="str">
        <f t="shared" ca="1" si="41"/>
        <v>Female</v>
      </c>
      <c r="G302" t="str">
        <f t="shared" ca="1" si="42"/>
        <v>Seoul</v>
      </c>
      <c r="H302" s="1">
        <f t="shared" ca="1" si="43"/>
        <v>38737</v>
      </c>
      <c r="I302" t="str">
        <f t="shared" ca="1" si="44"/>
        <v>Young Adult</v>
      </c>
    </row>
    <row r="303" spans="1:9" x14ac:dyDescent="0.25">
      <c r="A303" t="str">
        <f t="shared" si="36"/>
        <v>P302</v>
      </c>
      <c r="B303" t="str">
        <f t="shared" ca="1" si="37"/>
        <v>David</v>
      </c>
      <c r="C303" t="str">
        <f t="shared" ca="1" si="38"/>
        <v>Brown</v>
      </c>
      <c r="D303" t="str">
        <f t="shared" ca="1" si="39"/>
        <v>David Brown</v>
      </c>
      <c r="E303">
        <f t="shared" ca="1" si="40"/>
        <v>68</v>
      </c>
      <c r="F303" t="str">
        <f t="shared" ca="1" si="41"/>
        <v>Female</v>
      </c>
      <c r="G303" t="str">
        <f t="shared" ca="1" si="42"/>
        <v>Daejon</v>
      </c>
      <c r="H303" s="1">
        <f t="shared" ca="1" si="43"/>
        <v>21383</v>
      </c>
      <c r="I303" t="str">
        <f t="shared" ca="1" si="44"/>
        <v>Senior</v>
      </c>
    </row>
    <row r="304" spans="1:9" x14ac:dyDescent="0.25">
      <c r="A304" t="str">
        <f t="shared" si="36"/>
        <v>P303</v>
      </c>
      <c r="B304" t="str">
        <f t="shared" ca="1" si="37"/>
        <v>Sarah</v>
      </c>
      <c r="C304" t="str">
        <f t="shared" ca="1" si="38"/>
        <v>Smith</v>
      </c>
      <c r="D304" t="str">
        <f t="shared" ca="1" si="39"/>
        <v>Sarah Smith</v>
      </c>
      <c r="E304">
        <f t="shared" ca="1" si="40"/>
        <v>62</v>
      </c>
      <c r="F304" t="str">
        <f t="shared" ca="1" si="41"/>
        <v>Male</v>
      </c>
      <c r="G304" t="str">
        <f t="shared" ca="1" si="42"/>
        <v>Seoul</v>
      </c>
      <c r="H304" s="1">
        <f t="shared" ca="1" si="43"/>
        <v>23678</v>
      </c>
      <c r="I304" t="str">
        <f t="shared" ca="1" si="44"/>
        <v>Senior</v>
      </c>
    </row>
    <row r="305" spans="1:9" x14ac:dyDescent="0.25">
      <c r="A305" t="str">
        <f t="shared" si="36"/>
        <v>P304</v>
      </c>
      <c r="B305" t="str">
        <f t="shared" ca="1" si="37"/>
        <v>David</v>
      </c>
      <c r="C305" t="str">
        <f t="shared" ca="1" si="38"/>
        <v>Garcia</v>
      </c>
      <c r="D305" t="str">
        <f t="shared" ca="1" si="39"/>
        <v>David Garcia</v>
      </c>
      <c r="E305">
        <f t="shared" ca="1" si="40"/>
        <v>45</v>
      </c>
      <c r="F305" t="str">
        <f t="shared" ca="1" si="41"/>
        <v>Female</v>
      </c>
      <c r="G305" t="str">
        <f t="shared" ca="1" si="42"/>
        <v>Daegu</v>
      </c>
      <c r="H305" s="1">
        <f t="shared" ca="1" si="43"/>
        <v>29725</v>
      </c>
      <c r="I305" t="str">
        <f t="shared" ca="1" si="44"/>
        <v>Adult</v>
      </c>
    </row>
    <row r="306" spans="1:9" x14ac:dyDescent="0.25">
      <c r="A306" t="str">
        <f t="shared" si="36"/>
        <v>P305</v>
      </c>
      <c r="B306" t="str">
        <f t="shared" ca="1" si="37"/>
        <v>Sophia</v>
      </c>
      <c r="C306" t="str">
        <f t="shared" ca="1" si="38"/>
        <v>Taylor</v>
      </c>
      <c r="D306" t="str">
        <f t="shared" ca="1" si="39"/>
        <v>Sophia Taylor</v>
      </c>
      <c r="E306">
        <f t="shared" ca="1" si="40"/>
        <v>34</v>
      </c>
      <c r="F306" t="str">
        <f t="shared" ca="1" si="41"/>
        <v>Female</v>
      </c>
      <c r="G306" t="str">
        <f t="shared" ca="1" si="42"/>
        <v>Incheon</v>
      </c>
      <c r="H306" s="1">
        <f t="shared" ca="1" si="43"/>
        <v>33720</v>
      </c>
      <c r="I306" t="str">
        <f t="shared" ca="1" si="44"/>
        <v>Adult</v>
      </c>
    </row>
    <row r="307" spans="1:9" x14ac:dyDescent="0.25">
      <c r="A307" t="str">
        <f t="shared" si="36"/>
        <v>P306</v>
      </c>
      <c r="B307" t="str">
        <f t="shared" ca="1" si="37"/>
        <v>David</v>
      </c>
      <c r="C307" t="str">
        <f t="shared" ca="1" si="38"/>
        <v>Johnson</v>
      </c>
      <c r="D307" t="str">
        <f t="shared" ca="1" si="39"/>
        <v>David Johnson</v>
      </c>
      <c r="E307">
        <f t="shared" ca="1" si="40"/>
        <v>38</v>
      </c>
      <c r="F307" t="str">
        <f t="shared" ca="1" si="41"/>
        <v>Male</v>
      </c>
      <c r="G307" t="str">
        <f t="shared" ca="1" si="42"/>
        <v>Busan</v>
      </c>
      <c r="H307" s="1">
        <f t="shared" ca="1" si="43"/>
        <v>32461</v>
      </c>
      <c r="I307" t="str">
        <f t="shared" ca="1" si="44"/>
        <v>Adult</v>
      </c>
    </row>
    <row r="308" spans="1:9" x14ac:dyDescent="0.25">
      <c r="A308" t="str">
        <f t="shared" si="36"/>
        <v>P307</v>
      </c>
      <c r="B308" t="str">
        <f t="shared" ca="1" si="37"/>
        <v>James</v>
      </c>
      <c r="C308" t="str">
        <f t="shared" ca="1" si="38"/>
        <v>Davis</v>
      </c>
      <c r="D308" t="str">
        <f t="shared" ca="1" si="39"/>
        <v>James Davis</v>
      </c>
      <c r="E308">
        <f t="shared" ca="1" si="40"/>
        <v>60</v>
      </c>
      <c r="F308" t="str">
        <f t="shared" ca="1" si="41"/>
        <v>Male</v>
      </c>
      <c r="G308" t="str">
        <f t="shared" ca="1" si="42"/>
        <v>Daejon</v>
      </c>
      <c r="H308" s="1">
        <f t="shared" ca="1" si="43"/>
        <v>24231</v>
      </c>
      <c r="I308" t="str">
        <f t="shared" ca="1" si="44"/>
        <v>Senior</v>
      </c>
    </row>
    <row r="309" spans="1:9" x14ac:dyDescent="0.25">
      <c r="A309" t="str">
        <f t="shared" si="36"/>
        <v>P308</v>
      </c>
      <c r="B309" t="str">
        <f t="shared" ca="1" si="37"/>
        <v>Emily</v>
      </c>
      <c r="C309" t="str">
        <f t="shared" ca="1" si="38"/>
        <v>Brown</v>
      </c>
      <c r="D309" t="str">
        <f t="shared" ca="1" si="39"/>
        <v>Emily Brown</v>
      </c>
      <c r="E309">
        <f t="shared" ca="1" si="40"/>
        <v>24</v>
      </c>
      <c r="F309" t="str">
        <f t="shared" ca="1" si="41"/>
        <v>Female</v>
      </c>
      <c r="G309" t="str">
        <f t="shared" ca="1" si="42"/>
        <v>Daejon</v>
      </c>
      <c r="H309" s="1">
        <f t="shared" ca="1" si="43"/>
        <v>37417</v>
      </c>
      <c r="I309" t="str">
        <f t="shared" ca="1" si="44"/>
        <v>Young Adult</v>
      </c>
    </row>
    <row r="310" spans="1:9" x14ac:dyDescent="0.25">
      <c r="A310" t="str">
        <f t="shared" si="36"/>
        <v>P309</v>
      </c>
      <c r="B310" t="str">
        <f t="shared" ca="1" si="37"/>
        <v>Olivia</v>
      </c>
      <c r="C310" t="str">
        <f t="shared" ca="1" si="38"/>
        <v>Moore</v>
      </c>
      <c r="D310" t="str">
        <f t="shared" ca="1" si="39"/>
        <v>Olivia Moore</v>
      </c>
      <c r="E310">
        <f t="shared" ca="1" si="40"/>
        <v>28</v>
      </c>
      <c r="F310" t="str">
        <f t="shared" ca="1" si="41"/>
        <v>Female</v>
      </c>
      <c r="G310" t="str">
        <f t="shared" ca="1" si="42"/>
        <v>Incheon</v>
      </c>
      <c r="H310" s="1">
        <f t="shared" ca="1" si="43"/>
        <v>35864</v>
      </c>
      <c r="I310" t="str">
        <f t="shared" ca="1" si="44"/>
        <v>Young Adult</v>
      </c>
    </row>
    <row r="311" spans="1:9" x14ac:dyDescent="0.25">
      <c r="A311" t="str">
        <f t="shared" si="36"/>
        <v>P310</v>
      </c>
      <c r="B311" t="str">
        <f t="shared" ca="1" si="37"/>
        <v>Michael</v>
      </c>
      <c r="C311" t="str">
        <f t="shared" ca="1" si="38"/>
        <v>Anderson</v>
      </c>
      <c r="D311" t="str">
        <f t="shared" ca="1" si="39"/>
        <v>Michael Anderson</v>
      </c>
      <c r="E311">
        <f t="shared" ca="1" si="40"/>
        <v>20</v>
      </c>
      <c r="F311" t="str">
        <f t="shared" ca="1" si="41"/>
        <v>Male</v>
      </c>
      <c r="G311" t="str">
        <f t="shared" ca="1" si="42"/>
        <v>Busan</v>
      </c>
      <c r="H311" s="1">
        <f t="shared" ca="1" si="43"/>
        <v>38833</v>
      </c>
      <c r="I311" t="str">
        <f t="shared" ca="1" si="44"/>
        <v>Young Adult</v>
      </c>
    </row>
    <row r="312" spans="1:9" x14ac:dyDescent="0.25">
      <c r="A312" t="str">
        <f t="shared" si="36"/>
        <v>P311</v>
      </c>
      <c r="B312" t="str">
        <f t="shared" ca="1" si="37"/>
        <v>Sarah</v>
      </c>
      <c r="C312" t="str">
        <f t="shared" ca="1" si="38"/>
        <v>Garcia</v>
      </c>
      <c r="D312" t="str">
        <f t="shared" ca="1" si="39"/>
        <v>Sarah Garcia</v>
      </c>
      <c r="E312">
        <f t="shared" ca="1" si="40"/>
        <v>29</v>
      </c>
      <c r="F312" t="str">
        <f t="shared" ca="1" si="41"/>
        <v>Female</v>
      </c>
      <c r="G312" t="str">
        <f t="shared" ca="1" si="42"/>
        <v>Daejon</v>
      </c>
      <c r="H312" s="1">
        <f t="shared" ca="1" si="43"/>
        <v>35685</v>
      </c>
      <c r="I312" t="str">
        <f t="shared" ca="1" si="44"/>
        <v>Young Adult</v>
      </c>
    </row>
    <row r="313" spans="1:9" x14ac:dyDescent="0.25">
      <c r="A313" t="str">
        <f t="shared" si="36"/>
        <v>P312</v>
      </c>
      <c r="B313" t="str">
        <f t="shared" ca="1" si="37"/>
        <v>David</v>
      </c>
      <c r="C313" t="str">
        <f t="shared" ca="1" si="38"/>
        <v>Garcia</v>
      </c>
      <c r="D313" t="str">
        <f t="shared" ca="1" si="39"/>
        <v>David Garcia</v>
      </c>
      <c r="E313">
        <f t="shared" ca="1" si="40"/>
        <v>47</v>
      </c>
      <c r="F313" t="str">
        <f t="shared" ca="1" si="41"/>
        <v>Female</v>
      </c>
      <c r="G313" t="str">
        <f t="shared" ca="1" si="42"/>
        <v>Daejon</v>
      </c>
      <c r="H313" s="1">
        <f t="shared" ca="1" si="43"/>
        <v>28976</v>
      </c>
      <c r="I313" t="str">
        <f t="shared" ca="1" si="44"/>
        <v>Adult</v>
      </c>
    </row>
    <row r="314" spans="1:9" x14ac:dyDescent="0.25">
      <c r="A314" t="str">
        <f t="shared" si="36"/>
        <v>P313</v>
      </c>
      <c r="B314" t="str">
        <f t="shared" ca="1" si="37"/>
        <v>David</v>
      </c>
      <c r="C314" t="str">
        <f t="shared" ca="1" si="38"/>
        <v>Anderson</v>
      </c>
      <c r="D314" t="str">
        <f t="shared" ca="1" si="39"/>
        <v>David Anderson</v>
      </c>
      <c r="E314">
        <f t="shared" ca="1" si="40"/>
        <v>32</v>
      </c>
      <c r="F314" t="str">
        <f t="shared" ca="1" si="41"/>
        <v>Female</v>
      </c>
      <c r="G314" t="str">
        <f t="shared" ca="1" si="42"/>
        <v>Busan</v>
      </c>
      <c r="H314" s="1">
        <f t="shared" ca="1" si="43"/>
        <v>34344</v>
      </c>
      <c r="I314" t="str">
        <f t="shared" ca="1" si="44"/>
        <v>Adult</v>
      </c>
    </row>
    <row r="315" spans="1:9" x14ac:dyDescent="0.25">
      <c r="A315" t="str">
        <f t="shared" si="36"/>
        <v>P314</v>
      </c>
      <c r="B315" t="str">
        <f t="shared" ca="1" si="37"/>
        <v>James</v>
      </c>
      <c r="C315" t="str">
        <f t="shared" ca="1" si="38"/>
        <v>Taylor</v>
      </c>
      <c r="D315" t="str">
        <f t="shared" ca="1" si="39"/>
        <v>James Taylor</v>
      </c>
      <c r="E315">
        <f t="shared" ca="1" si="40"/>
        <v>59</v>
      </c>
      <c r="F315" t="str">
        <f t="shared" ca="1" si="41"/>
        <v>Male</v>
      </c>
      <c r="G315" t="str">
        <f t="shared" ca="1" si="42"/>
        <v>Busan</v>
      </c>
      <c r="H315" s="1">
        <f t="shared" ca="1" si="43"/>
        <v>24596</v>
      </c>
      <c r="I315" t="str">
        <f t="shared" ca="1" si="44"/>
        <v>Senior</v>
      </c>
    </row>
    <row r="316" spans="1:9" x14ac:dyDescent="0.25">
      <c r="A316" t="str">
        <f t="shared" si="36"/>
        <v>P315</v>
      </c>
      <c r="B316" t="str">
        <f t="shared" ca="1" si="37"/>
        <v>Daniel</v>
      </c>
      <c r="C316" t="str">
        <f t="shared" ca="1" si="38"/>
        <v>Davis</v>
      </c>
      <c r="D316" t="str">
        <f t="shared" ca="1" si="39"/>
        <v>Daniel Davis</v>
      </c>
      <c r="E316">
        <f t="shared" ca="1" si="40"/>
        <v>66</v>
      </c>
      <c r="F316" t="str">
        <f t="shared" ca="1" si="41"/>
        <v>Female</v>
      </c>
      <c r="G316" t="str">
        <f t="shared" ca="1" si="42"/>
        <v>Incheon</v>
      </c>
      <c r="H316" s="1">
        <f t="shared" ca="1" si="43"/>
        <v>21963</v>
      </c>
      <c r="I316" t="str">
        <f t="shared" ca="1" si="44"/>
        <v>Senior</v>
      </c>
    </row>
    <row r="317" spans="1:9" x14ac:dyDescent="0.25">
      <c r="A317" t="str">
        <f t="shared" si="36"/>
        <v>P316</v>
      </c>
      <c r="B317" t="str">
        <f t="shared" ca="1" si="37"/>
        <v>James</v>
      </c>
      <c r="C317" t="str">
        <f t="shared" ca="1" si="38"/>
        <v>Johnson</v>
      </c>
      <c r="D317" t="str">
        <f t="shared" ca="1" si="39"/>
        <v>James Johnson</v>
      </c>
      <c r="E317">
        <f t="shared" ca="1" si="40"/>
        <v>48</v>
      </c>
      <c r="F317" t="str">
        <f t="shared" ca="1" si="41"/>
        <v>Male</v>
      </c>
      <c r="G317" t="str">
        <f t="shared" ca="1" si="42"/>
        <v>Seoul</v>
      </c>
      <c r="H317" s="1">
        <f t="shared" ca="1" si="43"/>
        <v>28788</v>
      </c>
      <c r="I317" t="str">
        <f t="shared" ca="1" si="44"/>
        <v>Adult</v>
      </c>
    </row>
    <row r="318" spans="1:9" x14ac:dyDescent="0.25">
      <c r="A318" t="str">
        <f t="shared" si="36"/>
        <v>P317</v>
      </c>
      <c r="B318" t="str">
        <f t="shared" ca="1" si="37"/>
        <v>Sophia</v>
      </c>
      <c r="C318" t="str">
        <f t="shared" ca="1" si="38"/>
        <v>Smith</v>
      </c>
      <c r="D318" t="str">
        <f t="shared" ca="1" si="39"/>
        <v>Sophia Smith</v>
      </c>
      <c r="E318">
        <f t="shared" ca="1" si="40"/>
        <v>68</v>
      </c>
      <c r="F318" t="str">
        <f t="shared" ca="1" si="41"/>
        <v>Female</v>
      </c>
      <c r="G318" t="str">
        <f t="shared" ca="1" si="42"/>
        <v>Daejon</v>
      </c>
      <c r="H318" s="1">
        <f t="shared" ca="1" si="43"/>
        <v>21343</v>
      </c>
      <c r="I318" t="str">
        <f t="shared" ca="1" si="44"/>
        <v>Senior</v>
      </c>
    </row>
    <row r="319" spans="1:9" x14ac:dyDescent="0.25">
      <c r="A319" t="str">
        <f t="shared" si="36"/>
        <v>P318</v>
      </c>
      <c r="B319" t="str">
        <f t="shared" ca="1" si="37"/>
        <v>Maria</v>
      </c>
      <c r="C319" t="str">
        <f t="shared" ca="1" si="38"/>
        <v>Garcia</v>
      </c>
      <c r="D319" t="str">
        <f t="shared" ca="1" si="39"/>
        <v>Maria Garcia</v>
      </c>
      <c r="E319">
        <f t="shared" ca="1" si="40"/>
        <v>50</v>
      </c>
      <c r="F319" t="str">
        <f t="shared" ca="1" si="41"/>
        <v>Male</v>
      </c>
      <c r="G319" t="str">
        <f t="shared" ca="1" si="42"/>
        <v>Daejon</v>
      </c>
      <c r="H319" s="1">
        <f t="shared" ca="1" si="43"/>
        <v>27881</v>
      </c>
      <c r="I319" t="str">
        <f t="shared" ca="1" si="44"/>
        <v>Senior</v>
      </c>
    </row>
    <row r="320" spans="1:9" x14ac:dyDescent="0.25">
      <c r="A320" t="str">
        <f t="shared" si="36"/>
        <v>P319</v>
      </c>
      <c r="B320" t="str">
        <f t="shared" ca="1" si="37"/>
        <v>David</v>
      </c>
      <c r="C320" t="str">
        <f t="shared" ca="1" si="38"/>
        <v>Brown</v>
      </c>
      <c r="D320" t="str">
        <f t="shared" ca="1" si="39"/>
        <v>David Brown</v>
      </c>
      <c r="E320">
        <f t="shared" ca="1" si="40"/>
        <v>26</v>
      </c>
      <c r="F320" t="str">
        <f t="shared" ca="1" si="41"/>
        <v>Male</v>
      </c>
      <c r="G320" t="str">
        <f t="shared" ca="1" si="42"/>
        <v>Busan</v>
      </c>
      <c r="H320" s="1">
        <f t="shared" ca="1" si="43"/>
        <v>36864</v>
      </c>
      <c r="I320" t="str">
        <f t="shared" ca="1" si="44"/>
        <v>Young Adult</v>
      </c>
    </row>
    <row r="321" spans="1:9" x14ac:dyDescent="0.25">
      <c r="A321" t="str">
        <f t="shared" si="36"/>
        <v>P320</v>
      </c>
      <c r="B321" t="str">
        <f t="shared" ca="1" si="37"/>
        <v>Michael</v>
      </c>
      <c r="C321" t="str">
        <f t="shared" ca="1" si="38"/>
        <v>Wilson</v>
      </c>
      <c r="D321" t="str">
        <f t="shared" ca="1" si="39"/>
        <v>Michael Wilson</v>
      </c>
      <c r="E321">
        <f t="shared" ca="1" si="40"/>
        <v>28</v>
      </c>
      <c r="F321" t="str">
        <f t="shared" ca="1" si="41"/>
        <v>Male</v>
      </c>
      <c r="G321" t="str">
        <f t="shared" ca="1" si="42"/>
        <v>Busan</v>
      </c>
      <c r="H321" s="1">
        <f t="shared" ca="1" si="43"/>
        <v>35865</v>
      </c>
      <c r="I321" t="str">
        <f t="shared" ca="1" si="44"/>
        <v>Young Adult</v>
      </c>
    </row>
    <row r="322" spans="1:9" x14ac:dyDescent="0.25">
      <c r="A322" t="str">
        <f t="shared" si="36"/>
        <v>P321</v>
      </c>
      <c r="B322" t="str">
        <f t="shared" ca="1" si="37"/>
        <v>Olivia</v>
      </c>
      <c r="C322" t="str">
        <f t="shared" ca="1" si="38"/>
        <v>Smith</v>
      </c>
      <c r="D322" t="str">
        <f t="shared" ca="1" si="39"/>
        <v>Olivia Smith</v>
      </c>
      <c r="E322">
        <f t="shared" ca="1" si="40"/>
        <v>52</v>
      </c>
      <c r="F322" t="str">
        <f t="shared" ca="1" si="41"/>
        <v>Male</v>
      </c>
      <c r="G322" t="str">
        <f t="shared" ca="1" si="42"/>
        <v>Daegu</v>
      </c>
      <c r="H322" s="1">
        <f t="shared" ca="1" si="43"/>
        <v>27255</v>
      </c>
      <c r="I322" t="str">
        <f t="shared" ca="1" si="44"/>
        <v>Senior</v>
      </c>
    </row>
    <row r="323" spans="1:9" x14ac:dyDescent="0.25">
      <c r="A323" t="str">
        <f t="shared" si="36"/>
        <v>P322</v>
      </c>
      <c r="B323" t="str">
        <f t="shared" ca="1" si="37"/>
        <v>Sophia</v>
      </c>
      <c r="C323" t="str">
        <f t="shared" ca="1" si="38"/>
        <v>Johnson</v>
      </c>
      <c r="D323" t="str">
        <f t="shared" ca="1" si="39"/>
        <v>Sophia Johnson</v>
      </c>
      <c r="E323">
        <f t="shared" ca="1" si="40"/>
        <v>29</v>
      </c>
      <c r="F323" t="str">
        <f t="shared" ca="1" si="41"/>
        <v>Female</v>
      </c>
      <c r="G323" t="str">
        <f t="shared" ca="1" si="42"/>
        <v>Busan</v>
      </c>
      <c r="H323" s="1">
        <f t="shared" ca="1" si="43"/>
        <v>35757</v>
      </c>
      <c r="I323" t="str">
        <f t="shared" ca="1" si="44"/>
        <v>Young Adult</v>
      </c>
    </row>
    <row r="324" spans="1:9" x14ac:dyDescent="0.25">
      <c r="A324" t="str">
        <f t="shared" ref="A324:A351" si="45">"P"&amp;TEXT(ROW(A323),"000")</f>
        <v>P323</v>
      </c>
      <c r="B324" t="str">
        <f t="shared" ref="B324:B351" ca="1" si="46">CHOOSE(RANDBETWEEN(1,10),"James","Maria","David","Sarah","Michael","Emily","Daniel","Olivia","William","Sophia")</f>
        <v>Sarah</v>
      </c>
      <c r="C324" t="str">
        <f t="shared" ref="C324:C351" ca="1" si="47">CHOOSE(RANDBETWEEN(1,10),"Anderson","Garcia","Martinez","Johnson","Smith","Davis","Wilson","Brown","Taylor","Moore")</f>
        <v>Taylor</v>
      </c>
      <c r="D324" t="str">
        <f t="shared" ref="D324:D350" ca="1" si="48">B324&amp;" "&amp;C324</f>
        <v>Sarah Taylor</v>
      </c>
      <c r="E324">
        <f t="shared" ref="E324:E351" ca="1" si="49">RANDBETWEEN(20,70)</f>
        <v>25</v>
      </c>
      <c r="F324" t="str">
        <f t="shared" ref="F324:F351" ca="1" si="50">IF(RANDBETWEEN(0,1)=0, "Male","Female")</f>
        <v>Male</v>
      </c>
      <c r="G324" t="str">
        <f t="shared" ref="G324:G351" ca="1" si="51">CHOOSE(RANDBETWEEN(1,5),"Seoul","Busan","Incheon","Daegu","Daejon")</f>
        <v>Daejon</v>
      </c>
      <c r="H324" s="1">
        <f t="shared" ref="H324:H350" ca="1" si="52">DATE(2026 - E324,RANDBETWEEN(1,12),RANDBETWEEN(1,28))</f>
        <v>37009</v>
      </c>
      <c r="I324" t="str">
        <f t="shared" ref="I324:I350" ca="1" si="53">IF(E324&lt;30,"Young Adult",IF(E324&lt;50,"Adult","Senior"))</f>
        <v>Young Adult</v>
      </c>
    </row>
    <row r="325" spans="1:9" x14ac:dyDescent="0.25">
      <c r="A325" t="str">
        <f t="shared" si="45"/>
        <v>P324</v>
      </c>
      <c r="B325" t="str">
        <f t="shared" ca="1" si="46"/>
        <v>David</v>
      </c>
      <c r="C325" t="str">
        <f t="shared" ca="1" si="47"/>
        <v>Davis</v>
      </c>
      <c r="D325" t="str">
        <f t="shared" ca="1" si="48"/>
        <v>David Davis</v>
      </c>
      <c r="E325">
        <f t="shared" ca="1" si="49"/>
        <v>26</v>
      </c>
      <c r="F325" t="str">
        <f t="shared" ca="1" si="50"/>
        <v>Male</v>
      </c>
      <c r="G325" t="str">
        <f t="shared" ca="1" si="51"/>
        <v>Daegu</v>
      </c>
      <c r="H325" s="1">
        <f t="shared" ca="1" si="52"/>
        <v>36665</v>
      </c>
      <c r="I325" t="str">
        <f t="shared" ca="1" si="53"/>
        <v>Young Adult</v>
      </c>
    </row>
    <row r="326" spans="1:9" x14ac:dyDescent="0.25">
      <c r="A326" t="str">
        <f t="shared" si="45"/>
        <v>P325</v>
      </c>
      <c r="B326" t="str">
        <f t="shared" ca="1" si="46"/>
        <v>Sarah</v>
      </c>
      <c r="C326" t="str">
        <f t="shared" ca="1" si="47"/>
        <v>Smith</v>
      </c>
      <c r="D326" t="str">
        <f t="shared" ca="1" si="48"/>
        <v>Sarah Smith</v>
      </c>
      <c r="E326">
        <f t="shared" ca="1" si="49"/>
        <v>58</v>
      </c>
      <c r="F326" t="str">
        <f t="shared" ca="1" si="50"/>
        <v>Male</v>
      </c>
      <c r="G326" t="str">
        <f t="shared" ca="1" si="51"/>
        <v>Daejon</v>
      </c>
      <c r="H326" s="1">
        <f t="shared" ca="1" si="52"/>
        <v>25194</v>
      </c>
      <c r="I326" t="str">
        <f t="shared" ca="1" si="53"/>
        <v>Senior</v>
      </c>
    </row>
    <row r="327" spans="1:9" x14ac:dyDescent="0.25">
      <c r="A327" t="str">
        <f t="shared" si="45"/>
        <v>P326</v>
      </c>
      <c r="B327" t="str">
        <f t="shared" ca="1" si="46"/>
        <v>Michael</v>
      </c>
      <c r="C327" t="str">
        <f t="shared" ca="1" si="47"/>
        <v>Garcia</v>
      </c>
      <c r="D327" t="str">
        <f t="shared" ca="1" si="48"/>
        <v>Michael Garcia</v>
      </c>
      <c r="E327">
        <f t="shared" ca="1" si="49"/>
        <v>48</v>
      </c>
      <c r="F327" t="str">
        <f t="shared" ca="1" si="50"/>
        <v>Female</v>
      </c>
      <c r="G327" t="str">
        <f t="shared" ca="1" si="51"/>
        <v>Busan</v>
      </c>
      <c r="H327" s="1">
        <f t="shared" ca="1" si="52"/>
        <v>28534</v>
      </c>
      <c r="I327" t="str">
        <f t="shared" ca="1" si="53"/>
        <v>Adult</v>
      </c>
    </row>
    <row r="328" spans="1:9" x14ac:dyDescent="0.25">
      <c r="A328" t="str">
        <f t="shared" si="45"/>
        <v>P327</v>
      </c>
      <c r="B328" t="str">
        <f t="shared" ca="1" si="46"/>
        <v>Daniel</v>
      </c>
      <c r="C328" t="str">
        <f t="shared" ca="1" si="47"/>
        <v>Martinez</v>
      </c>
      <c r="D328" t="str">
        <f t="shared" ca="1" si="48"/>
        <v>Daniel Martinez</v>
      </c>
      <c r="E328">
        <f t="shared" ca="1" si="49"/>
        <v>22</v>
      </c>
      <c r="F328" t="str">
        <f t="shared" ca="1" si="50"/>
        <v>Male</v>
      </c>
      <c r="G328" t="str">
        <f t="shared" ca="1" si="51"/>
        <v>Busan</v>
      </c>
      <c r="H328" s="1">
        <f t="shared" ca="1" si="52"/>
        <v>38118</v>
      </c>
      <c r="I328" t="str">
        <f t="shared" ca="1" si="53"/>
        <v>Young Adult</v>
      </c>
    </row>
    <row r="329" spans="1:9" x14ac:dyDescent="0.25">
      <c r="A329" t="str">
        <f t="shared" si="45"/>
        <v>P328</v>
      </c>
      <c r="B329" t="str">
        <f t="shared" ca="1" si="46"/>
        <v>Michael</v>
      </c>
      <c r="C329" t="str">
        <f t="shared" ca="1" si="47"/>
        <v>Johnson</v>
      </c>
      <c r="D329" t="str">
        <f t="shared" ca="1" si="48"/>
        <v>Michael Johnson</v>
      </c>
      <c r="E329">
        <f t="shared" ca="1" si="49"/>
        <v>22</v>
      </c>
      <c r="F329" t="str">
        <f t="shared" ca="1" si="50"/>
        <v>Male</v>
      </c>
      <c r="G329" t="str">
        <f t="shared" ca="1" si="51"/>
        <v>Seoul</v>
      </c>
      <c r="H329" s="1">
        <f t="shared" ca="1" si="52"/>
        <v>38071</v>
      </c>
      <c r="I329" t="str">
        <f t="shared" ca="1" si="53"/>
        <v>Young Adult</v>
      </c>
    </row>
    <row r="330" spans="1:9" x14ac:dyDescent="0.25">
      <c r="A330" t="str">
        <f t="shared" si="45"/>
        <v>P329</v>
      </c>
      <c r="B330" t="str">
        <f t="shared" ca="1" si="46"/>
        <v>Maria</v>
      </c>
      <c r="C330" t="str">
        <f t="shared" ca="1" si="47"/>
        <v>Wilson</v>
      </c>
      <c r="D330" t="str">
        <f t="shared" ca="1" si="48"/>
        <v>Maria Wilson</v>
      </c>
      <c r="E330">
        <f t="shared" ca="1" si="49"/>
        <v>30</v>
      </c>
      <c r="F330" t="str">
        <f t="shared" ca="1" si="50"/>
        <v>Female</v>
      </c>
      <c r="G330" t="str">
        <f t="shared" ca="1" si="51"/>
        <v>Daegu</v>
      </c>
      <c r="H330" s="1">
        <f t="shared" ca="1" si="52"/>
        <v>35218</v>
      </c>
      <c r="I330" t="str">
        <f t="shared" ca="1" si="53"/>
        <v>Adult</v>
      </c>
    </row>
    <row r="331" spans="1:9" x14ac:dyDescent="0.25">
      <c r="A331" t="str">
        <f t="shared" si="45"/>
        <v>P330</v>
      </c>
      <c r="B331" t="str">
        <f t="shared" ca="1" si="46"/>
        <v>James</v>
      </c>
      <c r="C331" t="str">
        <f t="shared" ca="1" si="47"/>
        <v>Brown</v>
      </c>
      <c r="D331" t="str">
        <f t="shared" ca="1" si="48"/>
        <v>James Brown</v>
      </c>
      <c r="E331">
        <f t="shared" ca="1" si="49"/>
        <v>66</v>
      </c>
      <c r="F331" t="str">
        <f t="shared" ca="1" si="50"/>
        <v>Male</v>
      </c>
      <c r="G331" t="str">
        <f t="shared" ca="1" si="51"/>
        <v>Daejon</v>
      </c>
      <c r="H331" s="1">
        <f t="shared" ca="1" si="52"/>
        <v>22056</v>
      </c>
      <c r="I331" t="str">
        <f t="shared" ca="1" si="53"/>
        <v>Senior</v>
      </c>
    </row>
    <row r="332" spans="1:9" x14ac:dyDescent="0.25">
      <c r="A332" t="str">
        <f t="shared" si="45"/>
        <v>P331</v>
      </c>
      <c r="B332" t="str">
        <f t="shared" ca="1" si="46"/>
        <v>Emily</v>
      </c>
      <c r="C332" t="str">
        <f t="shared" ca="1" si="47"/>
        <v>Brown</v>
      </c>
      <c r="D332" t="str">
        <f t="shared" ca="1" si="48"/>
        <v>Emily Brown</v>
      </c>
      <c r="E332">
        <f t="shared" ca="1" si="49"/>
        <v>68</v>
      </c>
      <c r="F332" t="str">
        <f t="shared" ca="1" si="50"/>
        <v>Female</v>
      </c>
      <c r="G332" t="str">
        <f t="shared" ca="1" si="51"/>
        <v>Incheon</v>
      </c>
      <c r="H332" s="1">
        <f t="shared" ca="1" si="52"/>
        <v>21450</v>
      </c>
      <c r="I332" t="str">
        <f t="shared" ca="1" si="53"/>
        <v>Senior</v>
      </c>
    </row>
    <row r="333" spans="1:9" x14ac:dyDescent="0.25">
      <c r="A333" t="str">
        <f t="shared" si="45"/>
        <v>P332</v>
      </c>
      <c r="B333" t="str">
        <f t="shared" ca="1" si="46"/>
        <v>Sarah</v>
      </c>
      <c r="C333" t="str">
        <f t="shared" ca="1" si="47"/>
        <v>Brown</v>
      </c>
      <c r="D333" t="str">
        <f t="shared" ca="1" si="48"/>
        <v>Sarah Brown</v>
      </c>
      <c r="E333">
        <f t="shared" ca="1" si="49"/>
        <v>33</v>
      </c>
      <c r="F333" t="str">
        <f t="shared" ca="1" si="50"/>
        <v>Male</v>
      </c>
      <c r="G333" t="str">
        <f t="shared" ca="1" si="51"/>
        <v>Daegu</v>
      </c>
      <c r="H333" s="1">
        <f t="shared" ca="1" si="52"/>
        <v>34320</v>
      </c>
      <c r="I333" t="str">
        <f t="shared" ca="1" si="53"/>
        <v>Adult</v>
      </c>
    </row>
    <row r="334" spans="1:9" x14ac:dyDescent="0.25">
      <c r="A334" t="str">
        <f t="shared" si="45"/>
        <v>P333</v>
      </c>
      <c r="B334" t="str">
        <f t="shared" ca="1" si="46"/>
        <v>Olivia</v>
      </c>
      <c r="C334" t="str">
        <f t="shared" ca="1" si="47"/>
        <v>Wilson</v>
      </c>
      <c r="D334" t="str">
        <f t="shared" ca="1" si="48"/>
        <v>Olivia Wilson</v>
      </c>
      <c r="E334">
        <f t="shared" ca="1" si="49"/>
        <v>34</v>
      </c>
      <c r="F334" t="str">
        <f t="shared" ca="1" si="50"/>
        <v>Female</v>
      </c>
      <c r="G334" t="str">
        <f t="shared" ca="1" si="51"/>
        <v>Daejon</v>
      </c>
      <c r="H334" s="1">
        <f t="shared" ca="1" si="52"/>
        <v>33691</v>
      </c>
      <c r="I334" t="str">
        <f t="shared" ca="1" si="53"/>
        <v>Adult</v>
      </c>
    </row>
    <row r="335" spans="1:9" x14ac:dyDescent="0.25">
      <c r="A335" t="str">
        <f t="shared" si="45"/>
        <v>P334</v>
      </c>
      <c r="B335" t="str">
        <f t="shared" ca="1" si="46"/>
        <v>James</v>
      </c>
      <c r="C335" t="str">
        <f t="shared" ca="1" si="47"/>
        <v>Moore</v>
      </c>
      <c r="D335" t="str">
        <f t="shared" ca="1" si="48"/>
        <v>James Moore</v>
      </c>
      <c r="E335">
        <f t="shared" ca="1" si="49"/>
        <v>47</v>
      </c>
      <c r="F335" t="str">
        <f t="shared" ca="1" si="50"/>
        <v>Female</v>
      </c>
      <c r="G335" t="str">
        <f t="shared" ca="1" si="51"/>
        <v>Seoul</v>
      </c>
      <c r="H335" s="1">
        <f t="shared" ca="1" si="52"/>
        <v>28882</v>
      </c>
      <c r="I335" t="str">
        <f t="shared" ca="1" si="53"/>
        <v>Adult</v>
      </c>
    </row>
    <row r="336" spans="1:9" x14ac:dyDescent="0.25">
      <c r="A336" t="str">
        <f t="shared" si="45"/>
        <v>P335</v>
      </c>
      <c r="B336" t="str">
        <f t="shared" ca="1" si="46"/>
        <v>Michael</v>
      </c>
      <c r="C336" t="str">
        <f t="shared" ca="1" si="47"/>
        <v>Davis</v>
      </c>
      <c r="D336" t="str">
        <f t="shared" ca="1" si="48"/>
        <v>Michael Davis</v>
      </c>
      <c r="E336">
        <f t="shared" ca="1" si="49"/>
        <v>36</v>
      </c>
      <c r="F336" t="str">
        <f t="shared" ca="1" si="50"/>
        <v>Male</v>
      </c>
      <c r="G336" t="str">
        <f t="shared" ca="1" si="51"/>
        <v>Busan</v>
      </c>
      <c r="H336" s="1">
        <f t="shared" ca="1" si="52"/>
        <v>32934</v>
      </c>
      <c r="I336" t="str">
        <f t="shared" ca="1" si="53"/>
        <v>Adult</v>
      </c>
    </row>
    <row r="337" spans="1:9" x14ac:dyDescent="0.25">
      <c r="A337" t="str">
        <f t="shared" si="45"/>
        <v>P336</v>
      </c>
      <c r="B337" t="str">
        <f t="shared" ca="1" si="46"/>
        <v>Michael</v>
      </c>
      <c r="C337" t="str">
        <f t="shared" ca="1" si="47"/>
        <v>Johnson</v>
      </c>
      <c r="D337" t="str">
        <f t="shared" ca="1" si="48"/>
        <v>Michael Johnson</v>
      </c>
      <c r="E337">
        <f t="shared" ca="1" si="49"/>
        <v>68</v>
      </c>
      <c r="F337" t="str">
        <f t="shared" ca="1" si="50"/>
        <v>Female</v>
      </c>
      <c r="G337" t="str">
        <f t="shared" ca="1" si="51"/>
        <v>Incheon</v>
      </c>
      <c r="H337" s="1">
        <f t="shared" ca="1" si="52"/>
        <v>21363</v>
      </c>
      <c r="I337" t="str">
        <f t="shared" ca="1" si="53"/>
        <v>Senior</v>
      </c>
    </row>
    <row r="338" spans="1:9" x14ac:dyDescent="0.25">
      <c r="A338" t="str">
        <f t="shared" si="45"/>
        <v>P337</v>
      </c>
      <c r="B338" t="str">
        <f t="shared" ca="1" si="46"/>
        <v>James</v>
      </c>
      <c r="C338" t="str">
        <f t="shared" ca="1" si="47"/>
        <v>Taylor</v>
      </c>
      <c r="D338" t="str">
        <f t="shared" ca="1" si="48"/>
        <v>James Taylor</v>
      </c>
      <c r="E338">
        <f t="shared" ca="1" si="49"/>
        <v>29</v>
      </c>
      <c r="F338" t="str">
        <f t="shared" ca="1" si="50"/>
        <v>Male</v>
      </c>
      <c r="G338" t="str">
        <f t="shared" ca="1" si="51"/>
        <v>Daejon</v>
      </c>
      <c r="H338" s="1">
        <f t="shared" ca="1" si="52"/>
        <v>35451</v>
      </c>
      <c r="I338" t="str">
        <f t="shared" ca="1" si="53"/>
        <v>Young Adult</v>
      </c>
    </row>
    <row r="339" spans="1:9" x14ac:dyDescent="0.25">
      <c r="A339" t="str">
        <f t="shared" si="45"/>
        <v>P338</v>
      </c>
      <c r="B339" t="str">
        <f t="shared" ca="1" si="46"/>
        <v>Olivia</v>
      </c>
      <c r="C339" t="str">
        <f t="shared" ca="1" si="47"/>
        <v>Martinez</v>
      </c>
      <c r="D339" t="str">
        <f t="shared" ca="1" si="48"/>
        <v>Olivia Martinez</v>
      </c>
      <c r="E339">
        <f t="shared" ca="1" si="49"/>
        <v>22</v>
      </c>
      <c r="F339" t="str">
        <f t="shared" ca="1" si="50"/>
        <v>Female</v>
      </c>
      <c r="G339" t="str">
        <f t="shared" ca="1" si="51"/>
        <v>Daejon</v>
      </c>
      <c r="H339" s="1">
        <f t="shared" ca="1" si="52"/>
        <v>38089</v>
      </c>
      <c r="I339" t="str">
        <f t="shared" ca="1" si="53"/>
        <v>Young Adult</v>
      </c>
    </row>
    <row r="340" spans="1:9" x14ac:dyDescent="0.25">
      <c r="A340" t="str">
        <f t="shared" si="45"/>
        <v>P339</v>
      </c>
      <c r="B340" t="str">
        <f t="shared" ca="1" si="46"/>
        <v>David</v>
      </c>
      <c r="C340" t="str">
        <f t="shared" ca="1" si="47"/>
        <v>Johnson</v>
      </c>
      <c r="D340" t="str">
        <f t="shared" ca="1" si="48"/>
        <v>David Johnson</v>
      </c>
      <c r="E340">
        <f t="shared" ca="1" si="49"/>
        <v>21</v>
      </c>
      <c r="F340" t="str">
        <f t="shared" ca="1" si="50"/>
        <v>Female</v>
      </c>
      <c r="G340" t="str">
        <f t="shared" ca="1" si="51"/>
        <v>Busan</v>
      </c>
      <c r="H340" s="1">
        <f t="shared" ca="1" si="52"/>
        <v>38599</v>
      </c>
      <c r="I340" t="str">
        <f t="shared" ca="1" si="53"/>
        <v>Young Adult</v>
      </c>
    </row>
    <row r="341" spans="1:9" x14ac:dyDescent="0.25">
      <c r="A341" t="str">
        <f t="shared" si="45"/>
        <v>P340</v>
      </c>
      <c r="B341" t="str">
        <f t="shared" ca="1" si="46"/>
        <v>Sarah</v>
      </c>
      <c r="C341" t="str">
        <f t="shared" ca="1" si="47"/>
        <v>Martinez</v>
      </c>
      <c r="D341" t="str">
        <f t="shared" ca="1" si="48"/>
        <v>Sarah Martinez</v>
      </c>
      <c r="E341">
        <f t="shared" ca="1" si="49"/>
        <v>47</v>
      </c>
      <c r="F341" t="str">
        <f t="shared" ca="1" si="50"/>
        <v>Male</v>
      </c>
      <c r="G341" t="str">
        <f t="shared" ca="1" si="51"/>
        <v>Busan</v>
      </c>
      <c r="H341" s="1">
        <f t="shared" ca="1" si="52"/>
        <v>28994</v>
      </c>
      <c r="I341" t="str">
        <f t="shared" ca="1" si="53"/>
        <v>Adult</v>
      </c>
    </row>
    <row r="342" spans="1:9" x14ac:dyDescent="0.25">
      <c r="A342" t="str">
        <f t="shared" si="45"/>
        <v>P341</v>
      </c>
      <c r="B342" t="str">
        <f t="shared" ca="1" si="46"/>
        <v>James</v>
      </c>
      <c r="C342" t="str">
        <f t="shared" ca="1" si="47"/>
        <v>Johnson</v>
      </c>
      <c r="D342" t="str">
        <f t="shared" ca="1" si="48"/>
        <v>James Johnson</v>
      </c>
      <c r="E342">
        <f t="shared" ca="1" si="49"/>
        <v>35</v>
      </c>
      <c r="F342" t="str">
        <f t="shared" ca="1" si="50"/>
        <v>Female</v>
      </c>
      <c r="G342" t="str">
        <f t="shared" ca="1" si="51"/>
        <v>Seoul</v>
      </c>
      <c r="H342" s="1">
        <f t="shared" ca="1" si="52"/>
        <v>33527</v>
      </c>
      <c r="I342" t="str">
        <f t="shared" ca="1" si="53"/>
        <v>Adult</v>
      </c>
    </row>
    <row r="343" spans="1:9" x14ac:dyDescent="0.25">
      <c r="A343" t="str">
        <f t="shared" si="45"/>
        <v>P342</v>
      </c>
      <c r="B343" t="str">
        <f t="shared" ca="1" si="46"/>
        <v>Michael</v>
      </c>
      <c r="C343" t="str">
        <f t="shared" ca="1" si="47"/>
        <v>Davis</v>
      </c>
      <c r="D343" t="str">
        <f t="shared" ca="1" si="48"/>
        <v>Michael Davis</v>
      </c>
      <c r="E343">
        <f t="shared" ca="1" si="49"/>
        <v>57</v>
      </c>
      <c r="F343" t="str">
        <f t="shared" ca="1" si="50"/>
        <v>Female</v>
      </c>
      <c r="G343" t="str">
        <f t="shared" ca="1" si="51"/>
        <v>Daejon</v>
      </c>
      <c r="H343" s="1">
        <f t="shared" ca="1" si="52"/>
        <v>25249</v>
      </c>
      <c r="I343" t="str">
        <f t="shared" ca="1" si="53"/>
        <v>Senior</v>
      </c>
    </row>
    <row r="344" spans="1:9" x14ac:dyDescent="0.25">
      <c r="A344" t="str">
        <f t="shared" si="45"/>
        <v>P343</v>
      </c>
      <c r="B344" t="str">
        <f t="shared" ca="1" si="46"/>
        <v>Sarah</v>
      </c>
      <c r="C344" t="str">
        <f t="shared" ca="1" si="47"/>
        <v>Davis</v>
      </c>
      <c r="D344" t="str">
        <f t="shared" ca="1" si="48"/>
        <v>Sarah Davis</v>
      </c>
      <c r="E344">
        <f t="shared" ca="1" si="49"/>
        <v>32</v>
      </c>
      <c r="F344" t="str">
        <f t="shared" ca="1" si="50"/>
        <v>Male</v>
      </c>
      <c r="G344" t="str">
        <f t="shared" ca="1" si="51"/>
        <v>Daegu</v>
      </c>
      <c r="H344" s="1">
        <f t="shared" ca="1" si="52"/>
        <v>34338</v>
      </c>
      <c r="I344" t="str">
        <f t="shared" ca="1" si="53"/>
        <v>Adult</v>
      </c>
    </row>
    <row r="345" spans="1:9" x14ac:dyDescent="0.25">
      <c r="A345" t="str">
        <f t="shared" si="45"/>
        <v>P344</v>
      </c>
      <c r="B345" t="str">
        <f t="shared" ca="1" si="46"/>
        <v>William</v>
      </c>
      <c r="C345" t="str">
        <f t="shared" ca="1" si="47"/>
        <v>Davis</v>
      </c>
      <c r="D345" t="str">
        <f t="shared" ca="1" si="48"/>
        <v>William Davis</v>
      </c>
      <c r="E345">
        <f t="shared" ca="1" si="49"/>
        <v>32</v>
      </c>
      <c r="F345" t="str">
        <f t="shared" ca="1" si="50"/>
        <v>Female</v>
      </c>
      <c r="G345" t="str">
        <f t="shared" ca="1" si="51"/>
        <v>Busan</v>
      </c>
      <c r="H345" s="1">
        <f t="shared" ca="1" si="52"/>
        <v>34434</v>
      </c>
      <c r="I345" t="str">
        <f t="shared" ca="1" si="53"/>
        <v>Adult</v>
      </c>
    </row>
    <row r="346" spans="1:9" x14ac:dyDescent="0.25">
      <c r="A346" t="str">
        <f t="shared" si="45"/>
        <v>P345</v>
      </c>
      <c r="B346" t="str">
        <f t="shared" ca="1" si="46"/>
        <v>William</v>
      </c>
      <c r="C346" t="str">
        <f t="shared" ca="1" si="47"/>
        <v>Brown</v>
      </c>
      <c r="D346" t="str">
        <f t="shared" ca="1" si="48"/>
        <v>William Brown</v>
      </c>
      <c r="E346">
        <f t="shared" ca="1" si="49"/>
        <v>44</v>
      </c>
      <c r="F346" t="str">
        <f t="shared" ca="1" si="50"/>
        <v>Male</v>
      </c>
      <c r="G346" t="str">
        <f t="shared" ca="1" si="51"/>
        <v>Daejon</v>
      </c>
      <c r="H346" s="1">
        <f t="shared" ca="1" si="52"/>
        <v>30160</v>
      </c>
      <c r="I346" t="str">
        <f t="shared" ca="1" si="53"/>
        <v>Adult</v>
      </c>
    </row>
    <row r="347" spans="1:9" x14ac:dyDescent="0.25">
      <c r="A347" t="str">
        <f t="shared" si="45"/>
        <v>P346</v>
      </c>
      <c r="B347" t="str">
        <f t="shared" ca="1" si="46"/>
        <v>Sarah</v>
      </c>
      <c r="C347" t="str">
        <f t="shared" ca="1" si="47"/>
        <v>Anderson</v>
      </c>
      <c r="D347" t="str">
        <f t="shared" ca="1" si="48"/>
        <v>Sarah Anderson</v>
      </c>
      <c r="E347">
        <f t="shared" ca="1" si="49"/>
        <v>52</v>
      </c>
      <c r="F347" t="str">
        <f t="shared" ca="1" si="50"/>
        <v>Female</v>
      </c>
      <c r="G347" t="str">
        <f t="shared" ca="1" si="51"/>
        <v>Daejon</v>
      </c>
      <c r="H347" s="1">
        <f t="shared" ca="1" si="52"/>
        <v>27318</v>
      </c>
      <c r="I347" t="str">
        <f t="shared" ca="1" si="53"/>
        <v>Senior</v>
      </c>
    </row>
    <row r="348" spans="1:9" x14ac:dyDescent="0.25">
      <c r="A348" t="str">
        <f t="shared" si="45"/>
        <v>P347</v>
      </c>
      <c r="B348" t="str">
        <f t="shared" ca="1" si="46"/>
        <v>Sarah</v>
      </c>
      <c r="C348" t="str">
        <f t="shared" ca="1" si="47"/>
        <v>Davis</v>
      </c>
      <c r="D348" t="str">
        <f t="shared" ca="1" si="48"/>
        <v>Sarah Davis</v>
      </c>
      <c r="E348">
        <f t="shared" ca="1" si="49"/>
        <v>43</v>
      </c>
      <c r="F348" t="str">
        <f t="shared" ca="1" si="50"/>
        <v>Male</v>
      </c>
      <c r="G348" t="str">
        <f t="shared" ca="1" si="51"/>
        <v>Seoul</v>
      </c>
      <c r="H348" s="1">
        <f t="shared" ca="1" si="52"/>
        <v>30425</v>
      </c>
      <c r="I348" t="str">
        <f t="shared" ca="1" si="53"/>
        <v>Adult</v>
      </c>
    </row>
    <row r="349" spans="1:9" x14ac:dyDescent="0.25">
      <c r="A349" t="str">
        <f t="shared" si="45"/>
        <v>P348</v>
      </c>
      <c r="B349" t="str">
        <f t="shared" ca="1" si="46"/>
        <v>William</v>
      </c>
      <c r="C349" t="str">
        <f t="shared" ca="1" si="47"/>
        <v>Martinez</v>
      </c>
      <c r="D349" t="str">
        <f t="shared" ca="1" si="48"/>
        <v>William Martinez</v>
      </c>
      <c r="E349">
        <f t="shared" ca="1" si="49"/>
        <v>68</v>
      </c>
      <c r="F349" t="str">
        <f t="shared" ca="1" si="50"/>
        <v>Male</v>
      </c>
      <c r="G349" t="str">
        <f t="shared" ca="1" si="51"/>
        <v>Incheon</v>
      </c>
      <c r="H349" s="1">
        <f t="shared" ca="1" si="52"/>
        <v>21301</v>
      </c>
      <c r="I349" t="str">
        <f t="shared" ca="1" si="53"/>
        <v>Senior</v>
      </c>
    </row>
    <row r="350" spans="1:9" x14ac:dyDescent="0.25">
      <c r="A350" t="str">
        <f t="shared" si="45"/>
        <v>P349</v>
      </c>
      <c r="B350" t="str">
        <f t="shared" ca="1" si="46"/>
        <v>William</v>
      </c>
      <c r="C350" t="str">
        <f t="shared" ca="1" si="47"/>
        <v>Davis</v>
      </c>
      <c r="D350" t="str">
        <f t="shared" ca="1" si="48"/>
        <v>William Davis</v>
      </c>
      <c r="E350">
        <f t="shared" ca="1" si="49"/>
        <v>60</v>
      </c>
      <c r="F350" t="str">
        <f t="shared" ca="1" si="50"/>
        <v>Male</v>
      </c>
      <c r="G350" t="str">
        <f t="shared" ca="1" si="51"/>
        <v>Incheon</v>
      </c>
      <c r="H350" s="1">
        <f t="shared" ca="1" si="52"/>
        <v>24289</v>
      </c>
      <c r="I350" t="str">
        <f t="shared" ca="1" si="53"/>
        <v>Senior</v>
      </c>
    </row>
    <row r="351" spans="1:9" x14ac:dyDescent="0.25">
      <c r="A351" t="str">
        <f t="shared" si="45"/>
        <v>P350</v>
      </c>
      <c r="B351" t="str">
        <f t="shared" ca="1" si="46"/>
        <v>Olivia</v>
      </c>
      <c r="C351" t="str">
        <f t="shared" ca="1" si="47"/>
        <v>Johnson</v>
      </c>
      <c r="D351" t="str">
        <f t="shared" ref="D351" ca="1" si="54">B351&amp;" "&amp;C351</f>
        <v>Olivia Johnson</v>
      </c>
      <c r="E351">
        <f t="shared" ca="1" si="49"/>
        <v>59</v>
      </c>
      <c r="F351" t="str">
        <f t="shared" ca="1" si="50"/>
        <v>Female</v>
      </c>
      <c r="G351" t="str">
        <f t="shared" ca="1" si="51"/>
        <v>Daejon</v>
      </c>
      <c r="H351" s="1">
        <f t="shared" ref="H351" ca="1" si="55">DATE(2026 - E351,RANDBETWEEN(1,12),RANDBETWEEN(1,28))</f>
        <v>24645</v>
      </c>
      <c r="I351" t="str">
        <f t="shared" ref="I351" ca="1" si="56">IF(E351&lt;30,"Young Adult",IF(E351&lt;50,"Adult","Senior"))</f>
        <v>Senior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C93C-4E64-487A-925A-3B880430B947}">
  <dimension ref="A1:G351"/>
  <sheetViews>
    <sheetView workbookViewId="0">
      <selection activeCell="G351" sqref="A1:G351"/>
    </sheetView>
  </sheetViews>
  <sheetFormatPr defaultRowHeight="15" x14ac:dyDescent="0.25"/>
  <cols>
    <col min="1" max="1" width="15.42578125" bestFit="1" customWidth="1"/>
    <col min="2" max="2" width="10.140625" bestFit="1" customWidth="1"/>
    <col min="3" max="3" width="12.7109375" bestFit="1" customWidth="1"/>
    <col min="4" max="4" width="16.85546875" bestFit="1" customWidth="1"/>
    <col min="5" max="5" width="17.85546875" bestFit="1" customWidth="1"/>
    <col min="6" max="6" width="9.140625" bestFit="1" customWidth="1"/>
    <col min="7" max="7" width="4" bestFit="1" customWidth="1"/>
  </cols>
  <sheetData>
    <row r="1" spans="1:7" x14ac:dyDescent="0.25">
      <c r="A1" t="s">
        <v>484</v>
      </c>
      <c r="B1" t="s">
        <v>8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</row>
    <row r="2" spans="1:7" x14ac:dyDescent="0.25">
      <c r="A2" t="str">
        <f>"A"&amp;TEXT(ROW(A1),"000")</f>
        <v>A001</v>
      </c>
      <c r="B2" t="str">
        <f ca="1">"P"&amp;TEXT(RANDBETWEEN(1,100),"000")</f>
        <v>P010</v>
      </c>
      <c r="C2" t="str">
        <f ca="1">CHOOSE(RANDBETWEEN(1,5),"Dr. James Carter","Dr. Emily Watson","Dr. Michael Lee","Dr. Sarah Kim","Dr. David Park")</f>
        <v>Dr. James Carter</v>
      </c>
      <c r="D2" t="str">
        <f ca="1">CHOOSE(RANDBETWEEN(1,10),"Cardiology","Dermatology","Neurology","Orthopedics","General Medicine","Emergency Medicine","Oncology","Physical Medicine and Rehabilitation","Pharmacy","Psychiatry and Mental Health")</f>
        <v>Emergency Medicine</v>
      </c>
      <c r="E2" s="1">
        <f ca="1">DATE(2026,3,RANDBETWEEN(1,30))</f>
        <v>46092</v>
      </c>
      <c r="F2" t="str">
        <f ca="1">CHOOSE(RANDBETWEEN(1,3),"Completed","No-Show","Cancelled")</f>
        <v>Cancelled</v>
      </c>
      <c r="G2">
        <f ca="1">RANDBETWEEN(50,300)</f>
        <v>248</v>
      </c>
    </row>
    <row r="3" spans="1:7" x14ac:dyDescent="0.25">
      <c r="A3" t="str">
        <f t="shared" ref="A3:A66" si="0">"A"&amp;TEXT(ROW(A2),"000")</f>
        <v>A002</v>
      </c>
      <c r="B3" t="str">
        <f t="shared" ref="B3:B66" ca="1" si="1">"P"&amp;TEXT(RANDBETWEEN(1,100),"000")</f>
        <v>P040</v>
      </c>
      <c r="C3" t="str">
        <f t="shared" ref="C3:C66" ca="1" si="2">CHOOSE(RANDBETWEEN(1,5),"Dr. James Carter","Dr. Emily Watson","Dr. Michael Lee","Dr. Sarah Kim","Dr. David Park")</f>
        <v>Dr. James Carter</v>
      </c>
      <c r="D3" t="str">
        <f t="shared" ref="D3:D66" ca="1" si="3">CHOOSE(RANDBETWEEN(1,10),"Cardiology","Dermatology","Neurology","Orthopedics","General Medicine","Emergency Medicine","Oncology","Physical Medicine and Rehabilitation","Pharmacy","Psychiatry and Mental Health")</f>
        <v>Neurology</v>
      </c>
      <c r="E3" s="1">
        <f t="shared" ref="E3:E66" ca="1" si="4">DATE(2026,3,RANDBETWEEN(1,30))</f>
        <v>46100</v>
      </c>
      <c r="F3" t="str">
        <f t="shared" ref="F3:F66" ca="1" si="5">CHOOSE(RANDBETWEEN(1,3),"Completed","No-Show","Cancelled")</f>
        <v>No-Show</v>
      </c>
      <c r="G3">
        <f t="shared" ref="G3:G66" ca="1" si="6">RANDBETWEEN(50,300)</f>
        <v>70</v>
      </c>
    </row>
    <row r="4" spans="1:7" x14ac:dyDescent="0.25">
      <c r="A4" t="str">
        <f t="shared" si="0"/>
        <v>A003</v>
      </c>
      <c r="B4" t="str">
        <f t="shared" ca="1" si="1"/>
        <v>P045</v>
      </c>
      <c r="C4" t="str">
        <f t="shared" ca="1" si="2"/>
        <v>Dr. Sarah Kim</v>
      </c>
      <c r="D4" t="str">
        <f t="shared" ca="1" si="3"/>
        <v>Oncology</v>
      </c>
      <c r="E4" s="1">
        <f t="shared" ca="1" si="4"/>
        <v>46098</v>
      </c>
      <c r="F4" t="str">
        <f t="shared" ca="1" si="5"/>
        <v>No-Show</v>
      </c>
      <c r="G4">
        <f t="shared" ca="1" si="6"/>
        <v>147</v>
      </c>
    </row>
    <row r="5" spans="1:7" x14ac:dyDescent="0.25">
      <c r="A5" t="str">
        <f t="shared" si="0"/>
        <v>A004</v>
      </c>
      <c r="B5" t="str">
        <f t="shared" ca="1" si="1"/>
        <v>P032</v>
      </c>
      <c r="C5" t="str">
        <f t="shared" ca="1" si="2"/>
        <v>Dr. Emily Watson</v>
      </c>
      <c r="D5" t="str">
        <f t="shared" ca="1" si="3"/>
        <v>Physical Medicine and Rehabilitation</v>
      </c>
      <c r="E5" s="1">
        <f t="shared" ca="1" si="4"/>
        <v>46109</v>
      </c>
      <c r="F5" t="str">
        <f t="shared" ca="1" si="5"/>
        <v>Completed</v>
      </c>
      <c r="G5">
        <f t="shared" ca="1" si="6"/>
        <v>87</v>
      </c>
    </row>
    <row r="6" spans="1:7" x14ac:dyDescent="0.25">
      <c r="A6" t="str">
        <f t="shared" si="0"/>
        <v>A005</v>
      </c>
      <c r="B6" t="str">
        <f t="shared" ca="1" si="1"/>
        <v>P016</v>
      </c>
      <c r="C6" t="str">
        <f t="shared" ca="1" si="2"/>
        <v>Dr. Sarah Kim</v>
      </c>
      <c r="D6" t="str">
        <f t="shared" ca="1" si="3"/>
        <v>Neurology</v>
      </c>
      <c r="E6" s="1">
        <f t="shared" ca="1" si="4"/>
        <v>46105</v>
      </c>
      <c r="F6" t="str">
        <f t="shared" ca="1" si="5"/>
        <v>No-Show</v>
      </c>
      <c r="G6">
        <f t="shared" ca="1" si="6"/>
        <v>288</v>
      </c>
    </row>
    <row r="7" spans="1:7" x14ac:dyDescent="0.25">
      <c r="A7" t="str">
        <f t="shared" si="0"/>
        <v>A006</v>
      </c>
      <c r="B7" t="str">
        <f t="shared" ca="1" si="1"/>
        <v>P023</v>
      </c>
      <c r="C7" t="str">
        <f t="shared" ca="1" si="2"/>
        <v>Dr. David Park</v>
      </c>
      <c r="D7" t="str">
        <f t="shared" ca="1" si="3"/>
        <v>Orthopedics</v>
      </c>
      <c r="E7" s="1">
        <f t="shared" ca="1" si="4"/>
        <v>46098</v>
      </c>
      <c r="F7" t="str">
        <f t="shared" ca="1" si="5"/>
        <v>No-Show</v>
      </c>
      <c r="G7">
        <f t="shared" ca="1" si="6"/>
        <v>156</v>
      </c>
    </row>
    <row r="8" spans="1:7" x14ac:dyDescent="0.25">
      <c r="A8" t="str">
        <f t="shared" si="0"/>
        <v>A007</v>
      </c>
      <c r="B8" t="str">
        <f t="shared" ca="1" si="1"/>
        <v>P002</v>
      </c>
      <c r="C8" t="str">
        <f t="shared" ca="1" si="2"/>
        <v>Dr. Emily Watson</v>
      </c>
      <c r="D8" t="str">
        <f t="shared" ca="1" si="3"/>
        <v>Emergency Medicine</v>
      </c>
      <c r="E8" s="1">
        <f t="shared" ca="1" si="4"/>
        <v>46084</v>
      </c>
      <c r="F8" t="str">
        <f t="shared" ca="1" si="5"/>
        <v>Completed</v>
      </c>
      <c r="G8">
        <f t="shared" ca="1" si="6"/>
        <v>228</v>
      </c>
    </row>
    <row r="9" spans="1:7" x14ac:dyDescent="0.25">
      <c r="A9" t="str">
        <f t="shared" si="0"/>
        <v>A008</v>
      </c>
      <c r="B9" t="str">
        <f t="shared" ca="1" si="1"/>
        <v>P063</v>
      </c>
      <c r="C9" t="str">
        <f t="shared" ca="1" si="2"/>
        <v>Dr. Sarah Kim</v>
      </c>
      <c r="D9" t="str">
        <f t="shared" ca="1" si="3"/>
        <v>Oncology</v>
      </c>
      <c r="E9" s="1">
        <f t="shared" ca="1" si="4"/>
        <v>46092</v>
      </c>
      <c r="F9" t="str">
        <f t="shared" ca="1" si="5"/>
        <v>No-Show</v>
      </c>
      <c r="G9">
        <f t="shared" ca="1" si="6"/>
        <v>181</v>
      </c>
    </row>
    <row r="10" spans="1:7" x14ac:dyDescent="0.25">
      <c r="A10" t="str">
        <f t="shared" si="0"/>
        <v>A009</v>
      </c>
      <c r="B10" t="str">
        <f t="shared" ca="1" si="1"/>
        <v>P060</v>
      </c>
      <c r="C10" t="str">
        <f t="shared" ca="1" si="2"/>
        <v>Dr. James Carter</v>
      </c>
      <c r="D10" t="str">
        <f t="shared" ca="1" si="3"/>
        <v>Emergency Medicine</v>
      </c>
      <c r="E10" s="1">
        <f t="shared" ca="1" si="4"/>
        <v>46098</v>
      </c>
      <c r="F10" t="str">
        <f t="shared" ca="1" si="5"/>
        <v>No-Show</v>
      </c>
      <c r="G10">
        <f t="shared" ca="1" si="6"/>
        <v>258</v>
      </c>
    </row>
    <row r="11" spans="1:7" x14ac:dyDescent="0.25">
      <c r="A11" t="str">
        <f t="shared" si="0"/>
        <v>A010</v>
      </c>
      <c r="B11" t="str">
        <f t="shared" ca="1" si="1"/>
        <v>P056</v>
      </c>
      <c r="C11" t="str">
        <f t="shared" ca="1" si="2"/>
        <v>Dr. Emily Watson</v>
      </c>
      <c r="D11" t="str">
        <f t="shared" ca="1" si="3"/>
        <v>Orthopedics</v>
      </c>
      <c r="E11" s="1">
        <f t="shared" ca="1" si="4"/>
        <v>46100</v>
      </c>
      <c r="F11" t="str">
        <f t="shared" ca="1" si="5"/>
        <v>Completed</v>
      </c>
      <c r="G11">
        <f t="shared" ca="1" si="6"/>
        <v>188</v>
      </c>
    </row>
    <row r="12" spans="1:7" x14ac:dyDescent="0.25">
      <c r="A12" t="str">
        <f t="shared" si="0"/>
        <v>A011</v>
      </c>
      <c r="B12" t="str">
        <f t="shared" ca="1" si="1"/>
        <v>P095</v>
      </c>
      <c r="C12" t="str">
        <f t="shared" ca="1" si="2"/>
        <v>Dr. James Carter</v>
      </c>
      <c r="D12" t="str">
        <f t="shared" ca="1" si="3"/>
        <v>Pharmacy</v>
      </c>
      <c r="E12" s="1">
        <f t="shared" ca="1" si="4"/>
        <v>46108</v>
      </c>
      <c r="F12" t="str">
        <f t="shared" ca="1" si="5"/>
        <v>Completed</v>
      </c>
      <c r="G12">
        <f t="shared" ca="1" si="6"/>
        <v>95</v>
      </c>
    </row>
    <row r="13" spans="1:7" x14ac:dyDescent="0.25">
      <c r="A13" t="str">
        <f t="shared" si="0"/>
        <v>A012</v>
      </c>
      <c r="B13" t="str">
        <f t="shared" ca="1" si="1"/>
        <v>P056</v>
      </c>
      <c r="C13" t="str">
        <f t="shared" ca="1" si="2"/>
        <v>Dr. David Park</v>
      </c>
      <c r="D13" t="str">
        <f t="shared" ca="1" si="3"/>
        <v>General Medicine</v>
      </c>
      <c r="E13" s="1">
        <f t="shared" ca="1" si="4"/>
        <v>46095</v>
      </c>
      <c r="F13" t="str">
        <f t="shared" ca="1" si="5"/>
        <v>Completed</v>
      </c>
      <c r="G13">
        <f t="shared" ca="1" si="6"/>
        <v>224</v>
      </c>
    </row>
    <row r="14" spans="1:7" x14ac:dyDescent="0.25">
      <c r="A14" t="str">
        <f t="shared" si="0"/>
        <v>A013</v>
      </c>
      <c r="B14" t="str">
        <f t="shared" ca="1" si="1"/>
        <v>P030</v>
      </c>
      <c r="C14" t="str">
        <f t="shared" ca="1" si="2"/>
        <v>Dr. James Carter</v>
      </c>
      <c r="D14" t="str">
        <f t="shared" ca="1" si="3"/>
        <v>Pharmacy</v>
      </c>
      <c r="E14" s="1">
        <f t="shared" ca="1" si="4"/>
        <v>46109</v>
      </c>
      <c r="F14" t="str">
        <f t="shared" ca="1" si="5"/>
        <v>Cancelled</v>
      </c>
      <c r="G14">
        <f t="shared" ca="1" si="6"/>
        <v>119</v>
      </c>
    </row>
    <row r="15" spans="1:7" x14ac:dyDescent="0.25">
      <c r="A15" t="str">
        <f t="shared" si="0"/>
        <v>A014</v>
      </c>
      <c r="B15" t="str">
        <f t="shared" ca="1" si="1"/>
        <v>P068</v>
      </c>
      <c r="C15" t="str">
        <f t="shared" ca="1" si="2"/>
        <v>Dr. Sarah Kim</v>
      </c>
      <c r="D15" t="str">
        <f t="shared" ca="1" si="3"/>
        <v>Pharmacy</v>
      </c>
      <c r="E15" s="1">
        <f t="shared" ca="1" si="4"/>
        <v>46101</v>
      </c>
      <c r="F15" t="str">
        <f t="shared" ca="1" si="5"/>
        <v>Completed</v>
      </c>
      <c r="G15">
        <f t="shared" ca="1" si="6"/>
        <v>261</v>
      </c>
    </row>
    <row r="16" spans="1:7" x14ac:dyDescent="0.25">
      <c r="A16" t="str">
        <f t="shared" si="0"/>
        <v>A015</v>
      </c>
      <c r="B16" t="str">
        <f t="shared" ca="1" si="1"/>
        <v>P081</v>
      </c>
      <c r="C16" t="str">
        <f t="shared" ca="1" si="2"/>
        <v>Dr. Sarah Kim</v>
      </c>
      <c r="D16" t="str">
        <f t="shared" ca="1" si="3"/>
        <v>Dermatology</v>
      </c>
      <c r="E16" s="1">
        <f t="shared" ca="1" si="4"/>
        <v>46099</v>
      </c>
      <c r="F16" t="str">
        <f t="shared" ca="1" si="5"/>
        <v>Cancelled</v>
      </c>
      <c r="G16">
        <f t="shared" ca="1" si="6"/>
        <v>81</v>
      </c>
    </row>
    <row r="17" spans="1:7" x14ac:dyDescent="0.25">
      <c r="A17" t="str">
        <f t="shared" si="0"/>
        <v>A016</v>
      </c>
      <c r="B17" t="str">
        <f t="shared" ca="1" si="1"/>
        <v>P024</v>
      </c>
      <c r="C17" t="str">
        <f t="shared" ca="1" si="2"/>
        <v>Dr. David Park</v>
      </c>
      <c r="D17" t="str">
        <f t="shared" ca="1" si="3"/>
        <v>Emergency Medicine</v>
      </c>
      <c r="E17" s="1">
        <f t="shared" ca="1" si="4"/>
        <v>46086</v>
      </c>
      <c r="F17" t="str">
        <f t="shared" ca="1" si="5"/>
        <v>Cancelled</v>
      </c>
      <c r="G17">
        <f t="shared" ca="1" si="6"/>
        <v>189</v>
      </c>
    </row>
    <row r="18" spans="1:7" x14ac:dyDescent="0.25">
      <c r="A18" t="str">
        <f t="shared" si="0"/>
        <v>A017</v>
      </c>
      <c r="B18" t="str">
        <f t="shared" ca="1" si="1"/>
        <v>P083</v>
      </c>
      <c r="C18" t="str">
        <f t="shared" ca="1" si="2"/>
        <v>Dr. James Carter</v>
      </c>
      <c r="D18" t="str">
        <f t="shared" ca="1" si="3"/>
        <v>Pharmacy</v>
      </c>
      <c r="E18" s="1">
        <f t="shared" ca="1" si="4"/>
        <v>46096</v>
      </c>
      <c r="F18" t="str">
        <f t="shared" ca="1" si="5"/>
        <v>Completed</v>
      </c>
      <c r="G18">
        <f t="shared" ca="1" si="6"/>
        <v>104</v>
      </c>
    </row>
    <row r="19" spans="1:7" x14ac:dyDescent="0.25">
      <c r="A19" t="str">
        <f t="shared" si="0"/>
        <v>A018</v>
      </c>
      <c r="B19" t="str">
        <f t="shared" ca="1" si="1"/>
        <v>P074</v>
      </c>
      <c r="C19" t="str">
        <f t="shared" ca="1" si="2"/>
        <v>Dr. Michael Lee</v>
      </c>
      <c r="D19" t="str">
        <f t="shared" ca="1" si="3"/>
        <v>General Medicine</v>
      </c>
      <c r="E19" s="1">
        <f t="shared" ca="1" si="4"/>
        <v>46090</v>
      </c>
      <c r="F19" t="str">
        <f t="shared" ca="1" si="5"/>
        <v>Completed</v>
      </c>
      <c r="G19">
        <f t="shared" ca="1" si="6"/>
        <v>242</v>
      </c>
    </row>
    <row r="20" spans="1:7" x14ac:dyDescent="0.25">
      <c r="A20" t="str">
        <f t="shared" si="0"/>
        <v>A019</v>
      </c>
      <c r="B20" t="str">
        <f t="shared" ca="1" si="1"/>
        <v>P016</v>
      </c>
      <c r="C20" t="str">
        <f t="shared" ca="1" si="2"/>
        <v>Dr. James Carter</v>
      </c>
      <c r="D20" t="str">
        <f t="shared" ca="1" si="3"/>
        <v>Emergency Medicine</v>
      </c>
      <c r="E20" s="1">
        <f t="shared" ca="1" si="4"/>
        <v>46096</v>
      </c>
      <c r="F20" t="str">
        <f t="shared" ca="1" si="5"/>
        <v>No-Show</v>
      </c>
      <c r="G20">
        <f t="shared" ca="1" si="6"/>
        <v>198</v>
      </c>
    </row>
    <row r="21" spans="1:7" x14ac:dyDescent="0.25">
      <c r="A21" t="str">
        <f t="shared" si="0"/>
        <v>A020</v>
      </c>
      <c r="B21" t="str">
        <f t="shared" ca="1" si="1"/>
        <v>P097</v>
      </c>
      <c r="C21" t="str">
        <f t="shared" ca="1" si="2"/>
        <v>Dr. Sarah Kim</v>
      </c>
      <c r="D21" t="str">
        <f t="shared" ca="1" si="3"/>
        <v>Dermatology</v>
      </c>
      <c r="E21" s="1">
        <f t="shared" ca="1" si="4"/>
        <v>46108</v>
      </c>
      <c r="F21" t="str">
        <f t="shared" ca="1" si="5"/>
        <v>No-Show</v>
      </c>
      <c r="G21">
        <f t="shared" ca="1" si="6"/>
        <v>60</v>
      </c>
    </row>
    <row r="22" spans="1:7" x14ac:dyDescent="0.25">
      <c r="A22" t="str">
        <f t="shared" si="0"/>
        <v>A021</v>
      </c>
      <c r="B22" t="str">
        <f t="shared" ca="1" si="1"/>
        <v>P043</v>
      </c>
      <c r="C22" t="str">
        <f t="shared" ca="1" si="2"/>
        <v>Dr. James Carter</v>
      </c>
      <c r="D22" t="str">
        <f t="shared" ca="1" si="3"/>
        <v>Physical Medicine and Rehabilitation</v>
      </c>
      <c r="E22" s="1">
        <f t="shared" ca="1" si="4"/>
        <v>46104</v>
      </c>
      <c r="F22" t="str">
        <f t="shared" ca="1" si="5"/>
        <v>Completed</v>
      </c>
      <c r="G22">
        <f t="shared" ca="1" si="6"/>
        <v>122</v>
      </c>
    </row>
    <row r="23" spans="1:7" x14ac:dyDescent="0.25">
      <c r="A23" t="str">
        <f t="shared" si="0"/>
        <v>A022</v>
      </c>
      <c r="B23" t="str">
        <f t="shared" ca="1" si="1"/>
        <v>P031</v>
      </c>
      <c r="C23" t="str">
        <f t="shared" ca="1" si="2"/>
        <v>Dr. James Carter</v>
      </c>
      <c r="D23" t="str">
        <f t="shared" ca="1" si="3"/>
        <v>Oncology</v>
      </c>
      <c r="E23" s="1">
        <f t="shared" ca="1" si="4"/>
        <v>46082</v>
      </c>
      <c r="F23" t="str">
        <f t="shared" ca="1" si="5"/>
        <v>Cancelled</v>
      </c>
      <c r="G23">
        <f t="shared" ca="1" si="6"/>
        <v>237</v>
      </c>
    </row>
    <row r="24" spans="1:7" x14ac:dyDescent="0.25">
      <c r="A24" t="str">
        <f t="shared" si="0"/>
        <v>A023</v>
      </c>
      <c r="B24" t="str">
        <f t="shared" ca="1" si="1"/>
        <v>P090</v>
      </c>
      <c r="C24" t="str">
        <f t="shared" ca="1" si="2"/>
        <v>Dr. Michael Lee</v>
      </c>
      <c r="D24" t="str">
        <f t="shared" ca="1" si="3"/>
        <v>Oncology</v>
      </c>
      <c r="E24" s="1">
        <f t="shared" ca="1" si="4"/>
        <v>46097</v>
      </c>
      <c r="F24" t="str">
        <f t="shared" ca="1" si="5"/>
        <v>No-Show</v>
      </c>
      <c r="G24">
        <f t="shared" ca="1" si="6"/>
        <v>189</v>
      </c>
    </row>
    <row r="25" spans="1:7" x14ac:dyDescent="0.25">
      <c r="A25" t="str">
        <f t="shared" si="0"/>
        <v>A024</v>
      </c>
      <c r="B25" t="str">
        <f t="shared" ca="1" si="1"/>
        <v>P042</v>
      </c>
      <c r="C25" t="str">
        <f t="shared" ca="1" si="2"/>
        <v>Dr. Michael Lee</v>
      </c>
      <c r="D25" t="str">
        <f t="shared" ca="1" si="3"/>
        <v>Oncology</v>
      </c>
      <c r="E25" s="1">
        <f t="shared" ca="1" si="4"/>
        <v>46095</v>
      </c>
      <c r="F25" t="str">
        <f t="shared" ca="1" si="5"/>
        <v>No-Show</v>
      </c>
      <c r="G25">
        <f t="shared" ca="1" si="6"/>
        <v>75</v>
      </c>
    </row>
    <row r="26" spans="1:7" x14ac:dyDescent="0.25">
      <c r="A26" t="str">
        <f t="shared" si="0"/>
        <v>A025</v>
      </c>
      <c r="B26" t="str">
        <f t="shared" ca="1" si="1"/>
        <v>P040</v>
      </c>
      <c r="C26" t="str">
        <f t="shared" ca="1" si="2"/>
        <v>Dr. David Park</v>
      </c>
      <c r="D26" t="str">
        <f t="shared" ca="1" si="3"/>
        <v>Psychiatry and Mental Health</v>
      </c>
      <c r="E26" s="1">
        <f t="shared" ca="1" si="4"/>
        <v>46099</v>
      </c>
      <c r="F26" t="str">
        <f t="shared" ca="1" si="5"/>
        <v>No-Show</v>
      </c>
      <c r="G26">
        <f t="shared" ca="1" si="6"/>
        <v>238</v>
      </c>
    </row>
    <row r="27" spans="1:7" x14ac:dyDescent="0.25">
      <c r="A27" t="str">
        <f t="shared" si="0"/>
        <v>A026</v>
      </c>
      <c r="B27" t="str">
        <f t="shared" ca="1" si="1"/>
        <v>P003</v>
      </c>
      <c r="C27" t="str">
        <f t="shared" ca="1" si="2"/>
        <v>Dr. Michael Lee</v>
      </c>
      <c r="D27" t="str">
        <f t="shared" ca="1" si="3"/>
        <v>Dermatology</v>
      </c>
      <c r="E27" s="1">
        <f t="shared" ca="1" si="4"/>
        <v>46098</v>
      </c>
      <c r="F27" t="str">
        <f t="shared" ca="1" si="5"/>
        <v>Cancelled</v>
      </c>
      <c r="G27">
        <f t="shared" ca="1" si="6"/>
        <v>151</v>
      </c>
    </row>
    <row r="28" spans="1:7" x14ac:dyDescent="0.25">
      <c r="A28" t="str">
        <f t="shared" si="0"/>
        <v>A027</v>
      </c>
      <c r="B28" t="str">
        <f t="shared" ca="1" si="1"/>
        <v>P017</v>
      </c>
      <c r="C28" t="str">
        <f t="shared" ca="1" si="2"/>
        <v>Dr. Emily Watson</v>
      </c>
      <c r="D28" t="str">
        <f t="shared" ca="1" si="3"/>
        <v>Oncology</v>
      </c>
      <c r="E28" s="1">
        <f t="shared" ca="1" si="4"/>
        <v>46104</v>
      </c>
      <c r="F28" t="str">
        <f t="shared" ca="1" si="5"/>
        <v>Completed</v>
      </c>
      <c r="G28">
        <f t="shared" ca="1" si="6"/>
        <v>114</v>
      </c>
    </row>
    <row r="29" spans="1:7" x14ac:dyDescent="0.25">
      <c r="A29" t="str">
        <f t="shared" si="0"/>
        <v>A028</v>
      </c>
      <c r="B29" t="str">
        <f t="shared" ca="1" si="1"/>
        <v>P063</v>
      </c>
      <c r="C29" t="str">
        <f t="shared" ca="1" si="2"/>
        <v>Dr. Michael Lee</v>
      </c>
      <c r="D29" t="str">
        <f t="shared" ca="1" si="3"/>
        <v>Emergency Medicine</v>
      </c>
      <c r="E29" s="1">
        <f t="shared" ca="1" si="4"/>
        <v>46110</v>
      </c>
      <c r="F29" t="str">
        <f t="shared" ca="1" si="5"/>
        <v>Cancelled</v>
      </c>
      <c r="G29">
        <f t="shared" ca="1" si="6"/>
        <v>238</v>
      </c>
    </row>
    <row r="30" spans="1:7" x14ac:dyDescent="0.25">
      <c r="A30" t="str">
        <f t="shared" si="0"/>
        <v>A029</v>
      </c>
      <c r="B30" t="str">
        <f t="shared" ca="1" si="1"/>
        <v>P062</v>
      </c>
      <c r="C30" t="str">
        <f t="shared" ca="1" si="2"/>
        <v>Dr. Michael Lee</v>
      </c>
      <c r="D30" t="str">
        <f t="shared" ca="1" si="3"/>
        <v>General Medicine</v>
      </c>
      <c r="E30" s="1">
        <f t="shared" ca="1" si="4"/>
        <v>46082</v>
      </c>
      <c r="F30" t="str">
        <f t="shared" ca="1" si="5"/>
        <v>Completed</v>
      </c>
      <c r="G30">
        <f t="shared" ca="1" si="6"/>
        <v>98</v>
      </c>
    </row>
    <row r="31" spans="1:7" x14ac:dyDescent="0.25">
      <c r="A31" t="str">
        <f t="shared" si="0"/>
        <v>A030</v>
      </c>
      <c r="B31" t="str">
        <f t="shared" ca="1" si="1"/>
        <v>P045</v>
      </c>
      <c r="C31" t="str">
        <f t="shared" ca="1" si="2"/>
        <v>Dr. David Park</v>
      </c>
      <c r="D31" t="str">
        <f t="shared" ca="1" si="3"/>
        <v>Neurology</v>
      </c>
      <c r="E31" s="1">
        <f t="shared" ca="1" si="4"/>
        <v>46103</v>
      </c>
      <c r="F31" t="str">
        <f t="shared" ca="1" si="5"/>
        <v>Cancelled</v>
      </c>
      <c r="G31">
        <f t="shared" ca="1" si="6"/>
        <v>259</v>
      </c>
    </row>
    <row r="32" spans="1:7" x14ac:dyDescent="0.25">
      <c r="A32" t="str">
        <f t="shared" si="0"/>
        <v>A031</v>
      </c>
      <c r="B32" t="str">
        <f t="shared" ca="1" si="1"/>
        <v>P053</v>
      </c>
      <c r="C32" t="str">
        <f t="shared" ca="1" si="2"/>
        <v>Dr. David Park</v>
      </c>
      <c r="D32" t="str">
        <f t="shared" ca="1" si="3"/>
        <v>Orthopedics</v>
      </c>
      <c r="E32" s="1">
        <f t="shared" ca="1" si="4"/>
        <v>46110</v>
      </c>
      <c r="F32" t="str">
        <f t="shared" ca="1" si="5"/>
        <v>No-Show</v>
      </c>
      <c r="G32">
        <f t="shared" ca="1" si="6"/>
        <v>123</v>
      </c>
    </row>
    <row r="33" spans="1:7" x14ac:dyDescent="0.25">
      <c r="A33" t="str">
        <f t="shared" si="0"/>
        <v>A032</v>
      </c>
      <c r="B33" t="str">
        <f t="shared" ca="1" si="1"/>
        <v>P099</v>
      </c>
      <c r="C33" t="str">
        <f t="shared" ca="1" si="2"/>
        <v>Dr. Sarah Kim</v>
      </c>
      <c r="D33" t="str">
        <f t="shared" ca="1" si="3"/>
        <v>Oncology</v>
      </c>
      <c r="E33" s="1">
        <f t="shared" ca="1" si="4"/>
        <v>46101</v>
      </c>
      <c r="F33" t="str">
        <f t="shared" ca="1" si="5"/>
        <v>Completed</v>
      </c>
      <c r="G33">
        <f t="shared" ca="1" si="6"/>
        <v>153</v>
      </c>
    </row>
    <row r="34" spans="1:7" x14ac:dyDescent="0.25">
      <c r="A34" t="str">
        <f t="shared" si="0"/>
        <v>A033</v>
      </c>
      <c r="B34" t="str">
        <f t="shared" ca="1" si="1"/>
        <v>P062</v>
      </c>
      <c r="C34" t="str">
        <f t="shared" ca="1" si="2"/>
        <v>Dr. Michael Lee</v>
      </c>
      <c r="D34" t="str">
        <f t="shared" ca="1" si="3"/>
        <v>Dermatology</v>
      </c>
      <c r="E34" s="1">
        <f t="shared" ca="1" si="4"/>
        <v>46097</v>
      </c>
      <c r="F34" t="str">
        <f t="shared" ca="1" si="5"/>
        <v>Cancelled</v>
      </c>
      <c r="G34">
        <f t="shared" ca="1" si="6"/>
        <v>60</v>
      </c>
    </row>
    <row r="35" spans="1:7" x14ac:dyDescent="0.25">
      <c r="A35" t="str">
        <f t="shared" si="0"/>
        <v>A034</v>
      </c>
      <c r="B35" t="str">
        <f t="shared" ca="1" si="1"/>
        <v>P037</v>
      </c>
      <c r="C35" t="str">
        <f t="shared" ca="1" si="2"/>
        <v>Dr. David Park</v>
      </c>
      <c r="D35" t="str">
        <f t="shared" ca="1" si="3"/>
        <v>Pharmacy</v>
      </c>
      <c r="E35" s="1">
        <f t="shared" ca="1" si="4"/>
        <v>46095</v>
      </c>
      <c r="F35" t="str">
        <f t="shared" ca="1" si="5"/>
        <v>Completed</v>
      </c>
      <c r="G35">
        <f t="shared" ca="1" si="6"/>
        <v>185</v>
      </c>
    </row>
    <row r="36" spans="1:7" x14ac:dyDescent="0.25">
      <c r="A36" t="str">
        <f t="shared" si="0"/>
        <v>A035</v>
      </c>
      <c r="B36" t="str">
        <f t="shared" ca="1" si="1"/>
        <v>P086</v>
      </c>
      <c r="C36" t="str">
        <f t="shared" ca="1" si="2"/>
        <v>Dr. David Park</v>
      </c>
      <c r="D36" t="str">
        <f t="shared" ca="1" si="3"/>
        <v>Orthopedics</v>
      </c>
      <c r="E36" s="1">
        <f t="shared" ca="1" si="4"/>
        <v>46089</v>
      </c>
      <c r="F36" t="str">
        <f t="shared" ca="1" si="5"/>
        <v>Cancelled</v>
      </c>
      <c r="G36">
        <f t="shared" ca="1" si="6"/>
        <v>144</v>
      </c>
    </row>
    <row r="37" spans="1:7" x14ac:dyDescent="0.25">
      <c r="A37" t="str">
        <f t="shared" si="0"/>
        <v>A036</v>
      </c>
      <c r="B37" t="str">
        <f t="shared" ca="1" si="1"/>
        <v>P097</v>
      </c>
      <c r="C37" t="str">
        <f t="shared" ca="1" si="2"/>
        <v>Dr. Michael Lee</v>
      </c>
      <c r="D37" t="str">
        <f t="shared" ca="1" si="3"/>
        <v>Psychiatry and Mental Health</v>
      </c>
      <c r="E37" s="1">
        <f t="shared" ca="1" si="4"/>
        <v>46109</v>
      </c>
      <c r="F37" t="str">
        <f t="shared" ca="1" si="5"/>
        <v>Cancelled</v>
      </c>
      <c r="G37">
        <f t="shared" ca="1" si="6"/>
        <v>120</v>
      </c>
    </row>
    <row r="38" spans="1:7" x14ac:dyDescent="0.25">
      <c r="A38" t="str">
        <f t="shared" si="0"/>
        <v>A037</v>
      </c>
      <c r="B38" t="str">
        <f t="shared" ca="1" si="1"/>
        <v>P059</v>
      </c>
      <c r="C38" t="str">
        <f t="shared" ca="1" si="2"/>
        <v>Dr. Michael Lee</v>
      </c>
      <c r="D38" t="str">
        <f t="shared" ca="1" si="3"/>
        <v>Physical Medicine and Rehabilitation</v>
      </c>
      <c r="E38" s="1">
        <f t="shared" ca="1" si="4"/>
        <v>46086</v>
      </c>
      <c r="F38" t="str">
        <f t="shared" ca="1" si="5"/>
        <v>Completed</v>
      </c>
      <c r="G38">
        <f t="shared" ca="1" si="6"/>
        <v>198</v>
      </c>
    </row>
    <row r="39" spans="1:7" x14ac:dyDescent="0.25">
      <c r="A39" t="str">
        <f t="shared" si="0"/>
        <v>A038</v>
      </c>
      <c r="B39" t="str">
        <f t="shared" ca="1" si="1"/>
        <v>P057</v>
      </c>
      <c r="C39" t="str">
        <f t="shared" ca="1" si="2"/>
        <v>Dr. Emily Watson</v>
      </c>
      <c r="D39" t="str">
        <f t="shared" ca="1" si="3"/>
        <v>Pharmacy</v>
      </c>
      <c r="E39" s="1">
        <f t="shared" ca="1" si="4"/>
        <v>46088</v>
      </c>
      <c r="F39" t="str">
        <f t="shared" ca="1" si="5"/>
        <v>Cancelled</v>
      </c>
      <c r="G39">
        <f t="shared" ca="1" si="6"/>
        <v>119</v>
      </c>
    </row>
    <row r="40" spans="1:7" x14ac:dyDescent="0.25">
      <c r="A40" t="str">
        <f t="shared" si="0"/>
        <v>A039</v>
      </c>
      <c r="B40" t="str">
        <f t="shared" ca="1" si="1"/>
        <v>P098</v>
      </c>
      <c r="C40" t="str">
        <f t="shared" ca="1" si="2"/>
        <v>Dr. James Carter</v>
      </c>
      <c r="D40" t="str">
        <f t="shared" ca="1" si="3"/>
        <v>Dermatology</v>
      </c>
      <c r="E40" s="1">
        <f t="shared" ca="1" si="4"/>
        <v>46089</v>
      </c>
      <c r="F40" t="str">
        <f t="shared" ca="1" si="5"/>
        <v>No-Show</v>
      </c>
      <c r="G40">
        <f t="shared" ca="1" si="6"/>
        <v>226</v>
      </c>
    </row>
    <row r="41" spans="1:7" x14ac:dyDescent="0.25">
      <c r="A41" t="str">
        <f t="shared" si="0"/>
        <v>A040</v>
      </c>
      <c r="B41" t="str">
        <f t="shared" ca="1" si="1"/>
        <v>P061</v>
      </c>
      <c r="C41" t="str">
        <f t="shared" ca="1" si="2"/>
        <v>Dr. Sarah Kim</v>
      </c>
      <c r="D41" t="str">
        <f t="shared" ca="1" si="3"/>
        <v>Cardiology</v>
      </c>
      <c r="E41" s="1">
        <f t="shared" ca="1" si="4"/>
        <v>46104</v>
      </c>
      <c r="F41" t="str">
        <f t="shared" ca="1" si="5"/>
        <v>Completed</v>
      </c>
      <c r="G41">
        <f t="shared" ca="1" si="6"/>
        <v>156</v>
      </c>
    </row>
    <row r="42" spans="1:7" x14ac:dyDescent="0.25">
      <c r="A42" t="str">
        <f t="shared" si="0"/>
        <v>A041</v>
      </c>
      <c r="B42" t="str">
        <f t="shared" ca="1" si="1"/>
        <v>P001</v>
      </c>
      <c r="C42" t="str">
        <f t="shared" ca="1" si="2"/>
        <v>Dr. James Carter</v>
      </c>
      <c r="D42" t="str">
        <f t="shared" ca="1" si="3"/>
        <v>Emergency Medicine</v>
      </c>
      <c r="E42" s="1">
        <f t="shared" ca="1" si="4"/>
        <v>46108</v>
      </c>
      <c r="F42" t="str">
        <f t="shared" ca="1" si="5"/>
        <v>No-Show</v>
      </c>
      <c r="G42">
        <f t="shared" ca="1" si="6"/>
        <v>287</v>
      </c>
    </row>
    <row r="43" spans="1:7" x14ac:dyDescent="0.25">
      <c r="A43" t="str">
        <f t="shared" si="0"/>
        <v>A042</v>
      </c>
      <c r="B43" t="str">
        <f t="shared" ca="1" si="1"/>
        <v>P070</v>
      </c>
      <c r="C43" t="str">
        <f t="shared" ca="1" si="2"/>
        <v>Dr. David Park</v>
      </c>
      <c r="D43" t="str">
        <f t="shared" ca="1" si="3"/>
        <v>Neurology</v>
      </c>
      <c r="E43" s="1">
        <f t="shared" ca="1" si="4"/>
        <v>46100</v>
      </c>
      <c r="F43" t="str">
        <f t="shared" ca="1" si="5"/>
        <v>No-Show</v>
      </c>
      <c r="G43">
        <f t="shared" ca="1" si="6"/>
        <v>248</v>
      </c>
    </row>
    <row r="44" spans="1:7" x14ac:dyDescent="0.25">
      <c r="A44" t="str">
        <f t="shared" si="0"/>
        <v>A043</v>
      </c>
      <c r="B44" t="str">
        <f t="shared" ca="1" si="1"/>
        <v>P090</v>
      </c>
      <c r="C44" t="str">
        <f t="shared" ca="1" si="2"/>
        <v>Dr. James Carter</v>
      </c>
      <c r="D44" t="str">
        <f t="shared" ca="1" si="3"/>
        <v>Neurology</v>
      </c>
      <c r="E44" s="1">
        <f t="shared" ca="1" si="4"/>
        <v>46085</v>
      </c>
      <c r="F44" t="str">
        <f t="shared" ca="1" si="5"/>
        <v>No-Show</v>
      </c>
      <c r="G44">
        <f t="shared" ca="1" si="6"/>
        <v>177</v>
      </c>
    </row>
    <row r="45" spans="1:7" x14ac:dyDescent="0.25">
      <c r="A45" t="str">
        <f t="shared" si="0"/>
        <v>A044</v>
      </c>
      <c r="B45" t="str">
        <f t="shared" ca="1" si="1"/>
        <v>P051</v>
      </c>
      <c r="C45" t="str">
        <f t="shared" ca="1" si="2"/>
        <v>Dr. David Park</v>
      </c>
      <c r="D45" t="str">
        <f t="shared" ca="1" si="3"/>
        <v>General Medicine</v>
      </c>
      <c r="E45" s="1">
        <f t="shared" ca="1" si="4"/>
        <v>46101</v>
      </c>
      <c r="F45" t="str">
        <f t="shared" ca="1" si="5"/>
        <v>No-Show</v>
      </c>
      <c r="G45">
        <f t="shared" ca="1" si="6"/>
        <v>199</v>
      </c>
    </row>
    <row r="46" spans="1:7" x14ac:dyDescent="0.25">
      <c r="A46" t="str">
        <f t="shared" si="0"/>
        <v>A045</v>
      </c>
      <c r="B46" t="str">
        <f t="shared" ca="1" si="1"/>
        <v>P055</v>
      </c>
      <c r="C46" t="str">
        <f t="shared" ca="1" si="2"/>
        <v>Dr. Sarah Kim</v>
      </c>
      <c r="D46" t="str">
        <f t="shared" ca="1" si="3"/>
        <v>Physical Medicine and Rehabilitation</v>
      </c>
      <c r="E46" s="1">
        <f t="shared" ca="1" si="4"/>
        <v>46109</v>
      </c>
      <c r="F46" t="str">
        <f t="shared" ca="1" si="5"/>
        <v>Completed</v>
      </c>
      <c r="G46">
        <f t="shared" ca="1" si="6"/>
        <v>150</v>
      </c>
    </row>
    <row r="47" spans="1:7" x14ac:dyDescent="0.25">
      <c r="A47" t="str">
        <f t="shared" si="0"/>
        <v>A046</v>
      </c>
      <c r="B47" t="str">
        <f t="shared" ca="1" si="1"/>
        <v>P066</v>
      </c>
      <c r="C47" t="str">
        <f t="shared" ca="1" si="2"/>
        <v>Dr. David Park</v>
      </c>
      <c r="D47" t="str">
        <f t="shared" ca="1" si="3"/>
        <v>Orthopedics</v>
      </c>
      <c r="E47" s="1">
        <f t="shared" ca="1" si="4"/>
        <v>46096</v>
      </c>
      <c r="F47" t="str">
        <f t="shared" ca="1" si="5"/>
        <v>No-Show</v>
      </c>
      <c r="G47">
        <f t="shared" ca="1" si="6"/>
        <v>289</v>
      </c>
    </row>
    <row r="48" spans="1:7" x14ac:dyDescent="0.25">
      <c r="A48" t="str">
        <f t="shared" si="0"/>
        <v>A047</v>
      </c>
      <c r="B48" t="str">
        <f t="shared" ca="1" si="1"/>
        <v>P081</v>
      </c>
      <c r="C48" t="str">
        <f t="shared" ca="1" si="2"/>
        <v>Dr. James Carter</v>
      </c>
      <c r="D48" t="str">
        <f t="shared" ca="1" si="3"/>
        <v>Oncology</v>
      </c>
      <c r="E48" s="1">
        <f t="shared" ca="1" si="4"/>
        <v>46090</v>
      </c>
      <c r="F48" t="str">
        <f t="shared" ca="1" si="5"/>
        <v>Cancelled</v>
      </c>
      <c r="G48">
        <f t="shared" ca="1" si="6"/>
        <v>153</v>
      </c>
    </row>
    <row r="49" spans="1:7" x14ac:dyDescent="0.25">
      <c r="A49" t="str">
        <f t="shared" si="0"/>
        <v>A048</v>
      </c>
      <c r="B49" t="str">
        <f t="shared" ca="1" si="1"/>
        <v>P063</v>
      </c>
      <c r="C49" t="str">
        <f t="shared" ca="1" si="2"/>
        <v>Dr. Emily Watson</v>
      </c>
      <c r="D49" t="str">
        <f t="shared" ca="1" si="3"/>
        <v>General Medicine</v>
      </c>
      <c r="E49" s="1">
        <f t="shared" ca="1" si="4"/>
        <v>46108</v>
      </c>
      <c r="F49" t="str">
        <f t="shared" ca="1" si="5"/>
        <v>No-Show</v>
      </c>
      <c r="G49">
        <f t="shared" ca="1" si="6"/>
        <v>216</v>
      </c>
    </row>
    <row r="50" spans="1:7" x14ac:dyDescent="0.25">
      <c r="A50" t="str">
        <f t="shared" si="0"/>
        <v>A049</v>
      </c>
      <c r="B50" t="str">
        <f t="shared" ca="1" si="1"/>
        <v>P047</v>
      </c>
      <c r="C50" t="str">
        <f t="shared" ca="1" si="2"/>
        <v>Dr. David Park</v>
      </c>
      <c r="D50" t="str">
        <f t="shared" ca="1" si="3"/>
        <v>Cardiology</v>
      </c>
      <c r="E50" s="1">
        <f t="shared" ca="1" si="4"/>
        <v>46086</v>
      </c>
      <c r="F50" t="str">
        <f t="shared" ca="1" si="5"/>
        <v>No-Show</v>
      </c>
      <c r="G50">
        <f t="shared" ca="1" si="6"/>
        <v>235</v>
      </c>
    </row>
    <row r="51" spans="1:7" x14ac:dyDescent="0.25">
      <c r="A51" t="str">
        <f t="shared" si="0"/>
        <v>A050</v>
      </c>
      <c r="B51" t="str">
        <f t="shared" ca="1" si="1"/>
        <v>P016</v>
      </c>
      <c r="C51" t="str">
        <f t="shared" ca="1" si="2"/>
        <v>Dr. Emily Watson</v>
      </c>
      <c r="D51" t="str">
        <f t="shared" ca="1" si="3"/>
        <v>Emergency Medicine</v>
      </c>
      <c r="E51" s="1">
        <f t="shared" ca="1" si="4"/>
        <v>46109</v>
      </c>
      <c r="F51" t="str">
        <f t="shared" ca="1" si="5"/>
        <v>Cancelled</v>
      </c>
      <c r="G51">
        <f t="shared" ca="1" si="6"/>
        <v>158</v>
      </c>
    </row>
    <row r="52" spans="1:7" x14ac:dyDescent="0.25">
      <c r="A52" t="str">
        <f t="shared" si="0"/>
        <v>A051</v>
      </c>
      <c r="B52" t="str">
        <f t="shared" ca="1" si="1"/>
        <v>P013</v>
      </c>
      <c r="C52" t="str">
        <f t="shared" ca="1" si="2"/>
        <v>Dr. David Park</v>
      </c>
      <c r="D52" t="str">
        <f t="shared" ca="1" si="3"/>
        <v>Neurology</v>
      </c>
      <c r="E52" s="1">
        <f t="shared" ca="1" si="4"/>
        <v>46085</v>
      </c>
      <c r="F52" t="str">
        <f t="shared" ca="1" si="5"/>
        <v>No-Show</v>
      </c>
      <c r="G52">
        <f t="shared" ca="1" si="6"/>
        <v>136</v>
      </c>
    </row>
    <row r="53" spans="1:7" x14ac:dyDescent="0.25">
      <c r="A53" t="str">
        <f t="shared" si="0"/>
        <v>A052</v>
      </c>
      <c r="B53" t="str">
        <f t="shared" ca="1" si="1"/>
        <v>P058</v>
      </c>
      <c r="C53" t="str">
        <f t="shared" ca="1" si="2"/>
        <v>Dr. Emily Watson</v>
      </c>
      <c r="D53" t="str">
        <f t="shared" ca="1" si="3"/>
        <v>Cardiology</v>
      </c>
      <c r="E53" s="1">
        <f t="shared" ca="1" si="4"/>
        <v>46105</v>
      </c>
      <c r="F53" t="str">
        <f t="shared" ca="1" si="5"/>
        <v>Completed</v>
      </c>
      <c r="G53">
        <f t="shared" ca="1" si="6"/>
        <v>220</v>
      </c>
    </row>
    <row r="54" spans="1:7" x14ac:dyDescent="0.25">
      <c r="A54" t="str">
        <f t="shared" si="0"/>
        <v>A053</v>
      </c>
      <c r="B54" t="str">
        <f t="shared" ca="1" si="1"/>
        <v>P050</v>
      </c>
      <c r="C54" t="str">
        <f t="shared" ca="1" si="2"/>
        <v>Dr. Sarah Kim</v>
      </c>
      <c r="D54" t="str">
        <f t="shared" ca="1" si="3"/>
        <v>Dermatology</v>
      </c>
      <c r="E54" s="1">
        <f t="shared" ca="1" si="4"/>
        <v>46104</v>
      </c>
      <c r="F54" t="str">
        <f t="shared" ca="1" si="5"/>
        <v>Cancelled</v>
      </c>
      <c r="G54">
        <f t="shared" ca="1" si="6"/>
        <v>250</v>
      </c>
    </row>
    <row r="55" spans="1:7" x14ac:dyDescent="0.25">
      <c r="A55" t="str">
        <f t="shared" si="0"/>
        <v>A054</v>
      </c>
      <c r="B55" t="str">
        <f t="shared" ca="1" si="1"/>
        <v>P027</v>
      </c>
      <c r="C55" t="str">
        <f t="shared" ca="1" si="2"/>
        <v>Dr. David Park</v>
      </c>
      <c r="D55" t="str">
        <f t="shared" ca="1" si="3"/>
        <v>Oncology</v>
      </c>
      <c r="E55" s="1">
        <f t="shared" ca="1" si="4"/>
        <v>46108</v>
      </c>
      <c r="F55" t="str">
        <f t="shared" ca="1" si="5"/>
        <v>Completed</v>
      </c>
      <c r="G55">
        <f t="shared" ca="1" si="6"/>
        <v>175</v>
      </c>
    </row>
    <row r="56" spans="1:7" x14ac:dyDescent="0.25">
      <c r="A56" t="str">
        <f t="shared" si="0"/>
        <v>A055</v>
      </c>
      <c r="B56" t="str">
        <f t="shared" ca="1" si="1"/>
        <v>P048</v>
      </c>
      <c r="C56" t="str">
        <f t="shared" ca="1" si="2"/>
        <v>Dr. James Carter</v>
      </c>
      <c r="D56" t="str">
        <f t="shared" ca="1" si="3"/>
        <v>Pharmacy</v>
      </c>
      <c r="E56" s="1">
        <f t="shared" ca="1" si="4"/>
        <v>46108</v>
      </c>
      <c r="F56" t="str">
        <f t="shared" ca="1" si="5"/>
        <v>Cancelled</v>
      </c>
      <c r="G56">
        <f t="shared" ca="1" si="6"/>
        <v>236</v>
      </c>
    </row>
    <row r="57" spans="1:7" x14ac:dyDescent="0.25">
      <c r="A57" t="str">
        <f t="shared" si="0"/>
        <v>A056</v>
      </c>
      <c r="B57" t="str">
        <f t="shared" ca="1" si="1"/>
        <v>P069</v>
      </c>
      <c r="C57" t="str">
        <f t="shared" ca="1" si="2"/>
        <v>Dr. James Carter</v>
      </c>
      <c r="D57" t="str">
        <f t="shared" ca="1" si="3"/>
        <v>Neurology</v>
      </c>
      <c r="E57" s="1">
        <f t="shared" ca="1" si="4"/>
        <v>46096</v>
      </c>
      <c r="F57" t="str">
        <f t="shared" ca="1" si="5"/>
        <v>No-Show</v>
      </c>
      <c r="G57">
        <f t="shared" ca="1" si="6"/>
        <v>92</v>
      </c>
    </row>
    <row r="58" spans="1:7" x14ac:dyDescent="0.25">
      <c r="A58" t="str">
        <f t="shared" si="0"/>
        <v>A057</v>
      </c>
      <c r="B58" t="str">
        <f t="shared" ca="1" si="1"/>
        <v>P053</v>
      </c>
      <c r="C58" t="str">
        <f t="shared" ca="1" si="2"/>
        <v>Dr. Sarah Kim</v>
      </c>
      <c r="D58" t="str">
        <f t="shared" ca="1" si="3"/>
        <v>Emergency Medicine</v>
      </c>
      <c r="E58" s="1">
        <f t="shared" ca="1" si="4"/>
        <v>46111</v>
      </c>
      <c r="F58" t="str">
        <f t="shared" ca="1" si="5"/>
        <v>No-Show</v>
      </c>
      <c r="G58">
        <f t="shared" ca="1" si="6"/>
        <v>230</v>
      </c>
    </row>
    <row r="59" spans="1:7" x14ac:dyDescent="0.25">
      <c r="A59" t="str">
        <f t="shared" si="0"/>
        <v>A058</v>
      </c>
      <c r="B59" t="str">
        <f t="shared" ca="1" si="1"/>
        <v>P066</v>
      </c>
      <c r="C59" t="str">
        <f t="shared" ca="1" si="2"/>
        <v>Dr. Sarah Kim</v>
      </c>
      <c r="D59" t="str">
        <f t="shared" ca="1" si="3"/>
        <v>Neurology</v>
      </c>
      <c r="E59" s="1">
        <f t="shared" ca="1" si="4"/>
        <v>46097</v>
      </c>
      <c r="F59" t="str">
        <f t="shared" ca="1" si="5"/>
        <v>No-Show</v>
      </c>
      <c r="G59">
        <f t="shared" ca="1" si="6"/>
        <v>186</v>
      </c>
    </row>
    <row r="60" spans="1:7" x14ac:dyDescent="0.25">
      <c r="A60" t="str">
        <f t="shared" si="0"/>
        <v>A059</v>
      </c>
      <c r="B60" t="str">
        <f t="shared" ca="1" si="1"/>
        <v>P091</v>
      </c>
      <c r="C60" t="str">
        <f t="shared" ca="1" si="2"/>
        <v>Dr. David Park</v>
      </c>
      <c r="D60" t="str">
        <f t="shared" ca="1" si="3"/>
        <v>Dermatology</v>
      </c>
      <c r="E60" s="1">
        <f t="shared" ca="1" si="4"/>
        <v>46100</v>
      </c>
      <c r="F60" t="str">
        <f t="shared" ca="1" si="5"/>
        <v>Completed</v>
      </c>
      <c r="G60">
        <f t="shared" ca="1" si="6"/>
        <v>179</v>
      </c>
    </row>
    <row r="61" spans="1:7" x14ac:dyDescent="0.25">
      <c r="A61" t="str">
        <f t="shared" si="0"/>
        <v>A060</v>
      </c>
      <c r="B61" t="str">
        <f t="shared" ca="1" si="1"/>
        <v>P083</v>
      </c>
      <c r="C61" t="str">
        <f t="shared" ca="1" si="2"/>
        <v>Dr. Emily Watson</v>
      </c>
      <c r="D61" t="str">
        <f t="shared" ca="1" si="3"/>
        <v>Physical Medicine and Rehabilitation</v>
      </c>
      <c r="E61" s="1">
        <f t="shared" ca="1" si="4"/>
        <v>46096</v>
      </c>
      <c r="F61" t="str">
        <f t="shared" ca="1" si="5"/>
        <v>No-Show</v>
      </c>
      <c r="G61">
        <f t="shared" ca="1" si="6"/>
        <v>169</v>
      </c>
    </row>
    <row r="62" spans="1:7" x14ac:dyDescent="0.25">
      <c r="A62" t="str">
        <f t="shared" si="0"/>
        <v>A061</v>
      </c>
      <c r="B62" t="str">
        <f t="shared" ca="1" si="1"/>
        <v>P002</v>
      </c>
      <c r="C62" t="str">
        <f t="shared" ca="1" si="2"/>
        <v>Dr. James Carter</v>
      </c>
      <c r="D62" t="str">
        <f t="shared" ca="1" si="3"/>
        <v>Emergency Medicine</v>
      </c>
      <c r="E62" s="1">
        <f t="shared" ca="1" si="4"/>
        <v>46094</v>
      </c>
      <c r="F62" t="str">
        <f t="shared" ca="1" si="5"/>
        <v>Completed</v>
      </c>
      <c r="G62">
        <f t="shared" ca="1" si="6"/>
        <v>89</v>
      </c>
    </row>
    <row r="63" spans="1:7" x14ac:dyDescent="0.25">
      <c r="A63" t="str">
        <f t="shared" si="0"/>
        <v>A062</v>
      </c>
      <c r="B63" t="str">
        <f t="shared" ca="1" si="1"/>
        <v>P002</v>
      </c>
      <c r="C63" t="str">
        <f t="shared" ca="1" si="2"/>
        <v>Dr. James Carter</v>
      </c>
      <c r="D63" t="str">
        <f t="shared" ca="1" si="3"/>
        <v>Psychiatry and Mental Health</v>
      </c>
      <c r="E63" s="1">
        <f t="shared" ca="1" si="4"/>
        <v>46091</v>
      </c>
      <c r="F63" t="str">
        <f t="shared" ca="1" si="5"/>
        <v>Completed</v>
      </c>
      <c r="G63">
        <f t="shared" ca="1" si="6"/>
        <v>83</v>
      </c>
    </row>
    <row r="64" spans="1:7" x14ac:dyDescent="0.25">
      <c r="A64" t="str">
        <f t="shared" si="0"/>
        <v>A063</v>
      </c>
      <c r="B64" t="str">
        <f t="shared" ca="1" si="1"/>
        <v>P042</v>
      </c>
      <c r="C64" t="str">
        <f t="shared" ca="1" si="2"/>
        <v>Dr. James Carter</v>
      </c>
      <c r="D64" t="str">
        <f t="shared" ca="1" si="3"/>
        <v>Emergency Medicine</v>
      </c>
      <c r="E64" s="1">
        <f t="shared" ca="1" si="4"/>
        <v>46091</v>
      </c>
      <c r="F64" t="str">
        <f t="shared" ca="1" si="5"/>
        <v>No-Show</v>
      </c>
      <c r="G64">
        <f t="shared" ca="1" si="6"/>
        <v>85</v>
      </c>
    </row>
    <row r="65" spans="1:7" x14ac:dyDescent="0.25">
      <c r="A65" t="str">
        <f t="shared" si="0"/>
        <v>A064</v>
      </c>
      <c r="B65" t="str">
        <f t="shared" ca="1" si="1"/>
        <v>P088</v>
      </c>
      <c r="C65" t="str">
        <f t="shared" ca="1" si="2"/>
        <v>Dr. Emily Watson</v>
      </c>
      <c r="D65" t="str">
        <f t="shared" ca="1" si="3"/>
        <v>Emergency Medicine</v>
      </c>
      <c r="E65" s="1">
        <f t="shared" ca="1" si="4"/>
        <v>46109</v>
      </c>
      <c r="F65" t="str">
        <f t="shared" ca="1" si="5"/>
        <v>No-Show</v>
      </c>
      <c r="G65">
        <f t="shared" ca="1" si="6"/>
        <v>249</v>
      </c>
    </row>
    <row r="66" spans="1:7" x14ac:dyDescent="0.25">
      <c r="A66" t="str">
        <f t="shared" si="0"/>
        <v>A065</v>
      </c>
      <c r="B66" t="str">
        <f t="shared" ca="1" si="1"/>
        <v>P098</v>
      </c>
      <c r="C66" t="str">
        <f t="shared" ca="1" si="2"/>
        <v>Dr. Emily Watson</v>
      </c>
      <c r="D66" t="str">
        <f t="shared" ca="1" si="3"/>
        <v>General Medicine</v>
      </c>
      <c r="E66" s="1">
        <f t="shared" ca="1" si="4"/>
        <v>46099</v>
      </c>
      <c r="F66" t="str">
        <f t="shared" ca="1" si="5"/>
        <v>Cancelled</v>
      </c>
      <c r="G66">
        <f t="shared" ca="1" si="6"/>
        <v>220</v>
      </c>
    </row>
    <row r="67" spans="1:7" x14ac:dyDescent="0.25">
      <c r="A67" t="str">
        <f t="shared" ref="A67:A130" si="7">"A"&amp;TEXT(ROW(A66),"000")</f>
        <v>A066</v>
      </c>
      <c r="B67" t="str">
        <f t="shared" ref="B67:B130" ca="1" si="8">"P"&amp;TEXT(RANDBETWEEN(1,100),"000")</f>
        <v>P046</v>
      </c>
      <c r="C67" t="str">
        <f t="shared" ref="C67:C130" ca="1" si="9">CHOOSE(RANDBETWEEN(1,5),"Dr. James Carter","Dr. Emily Watson","Dr. Michael Lee","Dr. Sarah Kim","Dr. David Park")</f>
        <v>Dr. Sarah Kim</v>
      </c>
      <c r="D67" t="str">
        <f t="shared" ref="D67:D130" ca="1" si="10">CHOOSE(RANDBETWEEN(1,10),"Cardiology","Dermatology","Neurology","Orthopedics","General Medicine","Emergency Medicine","Oncology","Physical Medicine and Rehabilitation","Pharmacy","Psychiatry and Mental Health")</f>
        <v>General Medicine</v>
      </c>
      <c r="E67" s="1">
        <f t="shared" ref="E67:E130" ca="1" si="11">DATE(2026,3,RANDBETWEEN(1,30))</f>
        <v>46089</v>
      </c>
      <c r="F67" t="str">
        <f t="shared" ref="F67:F130" ca="1" si="12">CHOOSE(RANDBETWEEN(1,3),"Completed","No-Show","Cancelled")</f>
        <v>Completed</v>
      </c>
      <c r="G67">
        <f t="shared" ref="G67:G130" ca="1" si="13">RANDBETWEEN(50,300)</f>
        <v>226</v>
      </c>
    </row>
    <row r="68" spans="1:7" x14ac:dyDescent="0.25">
      <c r="A68" t="str">
        <f t="shared" si="7"/>
        <v>A067</v>
      </c>
      <c r="B68" t="str">
        <f t="shared" ca="1" si="8"/>
        <v>P021</v>
      </c>
      <c r="C68" t="str">
        <f t="shared" ca="1" si="9"/>
        <v>Dr. Sarah Kim</v>
      </c>
      <c r="D68" t="str">
        <f t="shared" ca="1" si="10"/>
        <v>Dermatology</v>
      </c>
      <c r="E68" s="1">
        <f t="shared" ca="1" si="11"/>
        <v>46084</v>
      </c>
      <c r="F68" t="str">
        <f t="shared" ca="1" si="12"/>
        <v>No-Show</v>
      </c>
      <c r="G68">
        <f t="shared" ca="1" si="13"/>
        <v>179</v>
      </c>
    </row>
    <row r="69" spans="1:7" x14ac:dyDescent="0.25">
      <c r="A69" t="str">
        <f t="shared" si="7"/>
        <v>A068</v>
      </c>
      <c r="B69" t="str">
        <f t="shared" ca="1" si="8"/>
        <v>P004</v>
      </c>
      <c r="C69" t="str">
        <f t="shared" ca="1" si="9"/>
        <v>Dr. Emily Watson</v>
      </c>
      <c r="D69" t="str">
        <f t="shared" ca="1" si="10"/>
        <v>Psychiatry and Mental Health</v>
      </c>
      <c r="E69" s="1">
        <f t="shared" ca="1" si="11"/>
        <v>46102</v>
      </c>
      <c r="F69" t="str">
        <f t="shared" ca="1" si="12"/>
        <v>Cancelled</v>
      </c>
      <c r="G69">
        <f t="shared" ca="1" si="13"/>
        <v>101</v>
      </c>
    </row>
    <row r="70" spans="1:7" x14ac:dyDescent="0.25">
      <c r="A70" t="str">
        <f t="shared" si="7"/>
        <v>A069</v>
      </c>
      <c r="B70" t="str">
        <f t="shared" ca="1" si="8"/>
        <v>P028</v>
      </c>
      <c r="C70" t="str">
        <f t="shared" ca="1" si="9"/>
        <v>Dr. Emily Watson</v>
      </c>
      <c r="D70" t="str">
        <f t="shared" ca="1" si="10"/>
        <v>Pharmacy</v>
      </c>
      <c r="E70" s="1">
        <f t="shared" ca="1" si="11"/>
        <v>46097</v>
      </c>
      <c r="F70" t="str">
        <f t="shared" ca="1" si="12"/>
        <v>Cancelled</v>
      </c>
      <c r="G70">
        <f t="shared" ca="1" si="13"/>
        <v>275</v>
      </c>
    </row>
    <row r="71" spans="1:7" x14ac:dyDescent="0.25">
      <c r="A71" t="str">
        <f t="shared" si="7"/>
        <v>A070</v>
      </c>
      <c r="B71" t="str">
        <f t="shared" ca="1" si="8"/>
        <v>P015</v>
      </c>
      <c r="C71" t="str">
        <f t="shared" ca="1" si="9"/>
        <v>Dr. James Carter</v>
      </c>
      <c r="D71" t="str">
        <f t="shared" ca="1" si="10"/>
        <v>General Medicine</v>
      </c>
      <c r="E71" s="1">
        <f t="shared" ca="1" si="11"/>
        <v>46103</v>
      </c>
      <c r="F71" t="str">
        <f t="shared" ca="1" si="12"/>
        <v>Cancelled</v>
      </c>
      <c r="G71">
        <f t="shared" ca="1" si="13"/>
        <v>288</v>
      </c>
    </row>
    <row r="72" spans="1:7" x14ac:dyDescent="0.25">
      <c r="A72" t="str">
        <f t="shared" si="7"/>
        <v>A071</v>
      </c>
      <c r="B72" t="str">
        <f t="shared" ca="1" si="8"/>
        <v>P096</v>
      </c>
      <c r="C72" t="str">
        <f t="shared" ca="1" si="9"/>
        <v>Dr. Emily Watson</v>
      </c>
      <c r="D72" t="str">
        <f t="shared" ca="1" si="10"/>
        <v>Pharmacy</v>
      </c>
      <c r="E72" s="1">
        <f t="shared" ca="1" si="11"/>
        <v>46106</v>
      </c>
      <c r="F72" t="str">
        <f t="shared" ca="1" si="12"/>
        <v>Completed</v>
      </c>
      <c r="G72">
        <f t="shared" ca="1" si="13"/>
        <v>120</v>
      </c>
    </row>
    <row r="73" spans="1:7" x14ac:dyDescent="0.25">
      <c r="A73" t="str">
        <f t="shared" si="7"/>
        <v>A072</v>
      </c>
      <c r="B73" t="str">
        <f t="shared" ca="1" si="8"/>
        <v>P066</v>
      </c>
      <c r="C73" t="str">
        <f t="shared" ca="1" si="9"/>
        <v>Dr. Emily Watson</v>
      </c>
      <c r="D73" t="str">
        <f t="shared" ca="1" si="10"/>
        <v>Emergency Medicine</v>
      </c>
      <c r="E73" s="1">
        <f t="shared" ca="1" si="11"/>
        <v>46097</v>
      </c>
      <c r="F73" t="str">
        <f t="shared" ca="1" si="12"/>
        <v>Completed</v>
      </c>
      <c r="G73">
        <f t="shared" ca="1" si="13"/>
        <v>105</v>
      </c>
    </row>
    <row r="74" spans="1:7" x14ac:dyDescent="0.25">
      <c r="A74" t="str">
        <f t="shared" si="7"/>
        <v>A073</v>
      </c>
      <c r="B74" t="str">
        <f t="shared" ca="1" si="8"/>
        <v>P026</v>
      </c>
      <c r="C74" t="str">
        <f t="shared" ca="1" si="9"/>
        <v>Dr. Sarah Kim</v>
      </c>
      <c r="D74" t="str">
        <f t="shared" ca="1" si="10"/>
        <v>Orthopedics</v>
      </c>
      <c r="E74" s="1">
        <f t="shared" ca="1" si="11"/>
        <v>46085</v>
      </c>
      <c r="F74" t="str">
        <f t="shared" ca="1" si="12"/>
        <v>Cancelled</v>
      </c>
      <c r="G74">
        <f t="shared" ca="1" si="13"/>
        <v>78</v>
      </c>
    </row>
    <row r="75" spans="1:7" x14ac:dyDescent="0.25">
      <c r="A75" t="str">
        <f t="shared" si="7"/>
        <v>A074</v>
      </c>
      <c r="B75" t="str">
        <f t="shared" ca="1" si="8"/>
        <v>P095</v>
      </c>
      <c r="C75" t="str">
        <f t="shared" ca="1" si="9"/>
        <v>Dr. David Park</v>
      </c>
      <c r="D75" t="str">
        <f t="shared" ca="1" si="10"/>
        <v>Oncology</v>
      </c>
      <c r="E75" s="1">
        <f t="shared" ca="1" si="11"/>
        <v>46106</v>
      </c>
      <c r="F75" t="str">
        <f t="shared" ca="1" si="12"/>
        <v>Completed</v>
      </c>
      <c r="G75">
        <f t="shared" ca="1" si="13"/>
        <v>63</v>
      </c>
    </row>
    <row r="76" spans="1:7" x14ac:dyDescent="0.25">
      <c r="A76" t="str">
        <f t="shared" si="7"/>
        <v>A075</v>
      </c>
      <c r="B76" t="str">
        <f t="shared" ca="1" si="8"/>
        <v>P096</v>
      </c>
      <c r="C76" t="str">
        <f t="shared" ca="1" si="9"/>
        <v>Dr. Michael Lee</v>
      </c>
      <c r="D76" t="str">
        <f t="shared" ca="1" si="10"/>
        <v>Cardiology</v>
      </c>
      <c r="E76" s="1">
        <f t="shared" ca="1" si="11"/>
        <v>46102</v>
      </c>
      <c r="F76" t="str">
        <f t="shared" ca="1" si="12"/>
        <v>No-Show</v>
      </c>
      <c r="G76">
        <f t="shared" ca="1" si="13"/>
        <v>199</v>
      </c>
    </row>
    <row r="77" spans="1:7" x14ac:dyDescent="0.25">
      <c r="A77" t="str">
        <f t="shared" si="7"/>
        <v>A076</v>
      </c>
      <c r="B77" t="str">
        <f t="shared" ca="1" si="8"/>
        <v>P076</v>
      </c>
      <c r="C77" t="str">
        <f t="shared" ca="1" si="9"/>
        <v>Dr. Sarah Kim</v>
      </c>
      <c r="D77" t="str">
        <f t="shared" ca="1" si="10"/>
        <v>Pharmacy</v>
      </c>
      <c r="E77" s="1">
        <f t="shared" ca="1" si="11"/>
        <v>46103</v>
      </c>
      <c r="F77" t="str">
        <f t="shared" ca="1" si="12"/>
        <v>No-Show</v>
      </c>
      <c r="G77">
        <f t="shared" ca="1" si="13"/>
        <v>296</v>
      </c>
    </row>
    <row r="78" spans="1:7" x14ac:dyDescent="0.25">
      <c r="A78" t="str">
        <f t="shared" si="7"/>
        <v>A077</v>
      </c>
      <c r="B78" t="str">
        <f t="shared" ca="1" si="8"/>
        <v>P060</v>
      </c>
      <c r="C78" t="str">
        <f t="shared" ca="1" si="9"/>
        <v>Dr. James Carter</v>
      </c>
      <c r="D78" t="str">
        <f t="shared" ca="1" si="10"/>
        <v>Pharmacy</v>
      </c>
      <c r="E78" s="1">
        <f t="shared" ca="1" si="11"/>
        <v>46103</v>
      </c>
      <c r="F78" t="str">
        <f t="shared" ca="1" si="12"/>
        <v>Cancelled</v>
      </c>
      <c r="G78">
        <f t="shared" ca="1" si="13"/>
        <v>86</v>
      </c>
    </row>
    <row r="79" spans="1:7" x14ac:dyDescent="0.25">
      <c r="A79" t="str">
        <f t="shared" si="7"/>
        <v>A078</v>
      </c>
      <c r="B79" t="str">
        <f t="shared" ca="1" si="8"/>
        <v>P028</v>
      </c>
      <c r="C79" t="str">
        <f t="shared" ca="1" si="9"/>
        <v>Dr. James Carter</v>
      </c>
      <c r="D79" t="str">
        <f t="shared" ca="1" si="10"/>
        <v>Cardiology</v>
      </c>
      <c r="E79" s="1">
        <f t="shared" ca="1" si="11"/>
        <v>46106</v>
      </c>
      <c r="F79" t="str">
        <f t="shared" ca="1" si="12"/>
        <v>No-Show</v>
      </c>
      <c r="G79">
        <f t="shared" ca="1" si="13"/>
        <v>166</v>
      </c>
    </row>
    <row r="80" spans="1:7" x14ac:dyDescent="0.25">
      <c r="A80" t="str">
        <f t="shared" si="7"/>
        <v>A079</v>
      </c>
      <c r="B80" t="str">
        <f t="shared" ca="1" si="8"/>
        <v>P079</v>
      </c>
      <c r="C80" t="str">
        <f t="shared" ca="1" si="9"/>
        <v>Dr. Sarah Kim</v>
      </c>
      <c r="D80" t="str">
        <f t="shared" ca="1" si="10"/>
        <v>Physical Medicine and Rehabilitation</v>
      </c>
      <c r="E80" s="1">
        <f t="shared" ca="1" si="11"/>
        <v>46096</v>
      </c>
      <c r="F80" t="str">
        <f t="shared" ca="1" si="12"/>
        <v>Cancelled</v>
      </c>
      <c r="G80">
        <f t="shared" ca="1" si="13"/>
        <v>194</v>
      </c>
    </row>
    <row r="81" spans="1:7" x14ac:dyDescent="0.25">
      <c r="A81" t="str">
        <f t="shared" si="7"/>
        <v>A080</v>
      </c>
      <c r="B81" t="str">
        <f t="shared" ca="1" si="8"/>
        <v>P082</v>
      </c>
      <c r="C81" t="str">
        <f t="shared" ca="1" si="9"/>
        <v>Dr. David Park</v>
      </c>
      <c r="D81" t="str">
        <f t="shared" ca="1" si="10"/>
        <v>Dermatology</v>
      </c>
      <c r="E81" s="1">
        <f t="shared" ca="1" si="11"/>
        <v>46101</v>
      </c>
      <c r="F81" t="str">
        <f t="shared" ca="1" si="12"/>
        <v>Cancelled</v>
      </c>
      <c r="G81">
        <f t="shared" ca="1" si="13"/>
        <v>52</v>
      </c>
    </row>
    <row r="82" spans="1:7" x14ac:dyDescent="0.25">
      <c r="A82" t="str">
        <f t="shared" si="7"/>
        <v>A081</v>
      </c>
      <c r="B82" t="str">
        <f t="shared" ca="1" si="8"/>
        <v>P080</v>
      </c>
      <c r="C82" t="str">
        <f t="shared" ca="1" si="9"/>
        <v>Dr. Sarah Kim</v>
      </c>
      <c r="D82" t="str">
        <f t="shared" ca="1" si="10"/>
        <v>General Medicine</v>
      </c>
      <c r="E82" s="1">
        <f t="shared" ca="1" si="11"/>
        <v>46104</v>
      </c>
      <c r="F82" t="str">
        <f t="shared" ca="1" si="12"/>
        <v>Completed</v>
      </c>
      <c r="G82">
        <f t="shared" ca="1" si="13"/>
        <v>112</v>
      </c>
    </row>
    <row r="83" spans="1:7" x14ac:dyDescent="0.25">
      <c r="A83" t="str">
        <f t="shared" si="7"/>
        <v>A082</v>
      </c>
      <c r="B83" t="str">
        <f t="shared" ca="1" si="8"/>
        <v>P005</v>
      </c>
      <c r="C83" t="str">
        <f t="shared" ca="1" si="9"/>
        <v>Dr. Emily Watson</v>
      </c>
      <c r="D83" t="str">
        <f t="shared" ca="1" si="10"/>
        <v>Emergency Medicine</v>
      </c>
      <c r="E83" s="1">
        <f t="shared" ca="1" si="11"/>
        <v>46093</v>
      </c>
      <c r="F83" t="str">
        <f t="shared" ca="1" si="12"/>
        <v>Completed</v>
      </c>
      <c r="G83">
        <f t="shared" ca="1" si="13"/>
        <v>173</v>
      </c>
    </row>
    <row r="84" spans="1:7" x14ac:dyDescent="0.25">
      <c r="A84" t="str">
        <f t="shared" si="7"/>
        <v>A083</v>
      </c>
      <c r="B84" t="str">
        <f t="shared" ca="1" si="8"/>
        <v>P097</v>
      </c>
      <c r="C84" t="str">
        <f t="shared" ca="1" si="9"/>
        <v>Dr. David Park</v>
      </c>
      <c r="D84" t="str">
        <f t="shared" ca="1" si="10"/>
        <v>Physical Medicine and Rehabilitation</v>
      </c>
      <c r="E84" s="1">
        <f t="shared" ca="1" si="11"/>
        <v>46107</v>
      </c>
      <c r="F84" t="str">
        <f t="shared" ca="1" si="12"/>
        <v>Completed</v>
      </c>
      <c r="G84">
        <f t="shared" ca="1" si="13"/>
        <v>123</v>
      </c>
    </row>
    <row r="85" spans="1:7" x14ac:dyDescent="0.25">
      <c r="A85" t="str">
        <f t="shared" si="7"/>
        <v>A084</v>
      </c>
      <c r="B85" t="str">
        <f t="shared" ca="1" si="8"/>
        <v>P010</v>
      </c>
      <c r="C85" t="str">
        <f t="shared" ca="1" si="9"/>
        <v>Dr. David Park</v>
      </c>
      <c r="D85" t="str">
        <f t="shared" ca="1" si="10"/>
        <v>Emergency Medicine</v>
      </c>
      <c r="E85" s="1">
        <f t="shared" ca="1" si="11"/>
        <v>46110</v>
      </c>
      <c r="F85" t="str">
        <f t="shared" ca="1" si="12"/>
        <v>Completed</v>
      </c>
      <c r="G85">
        <f t="shared" ca="1" si="13"/>
        <v>288</v>
      </c>
    </row>
    <row r="86" spans="1:7" x14ac:dyDescent="0.25">
      <c r="A86" t="str">
        <f t="shared" si="7"/>
        <v>A085</v>
      </c>
      <c r="B86" t="str">
        <f t="shared" ca="1" si="8"/>
        <v>P062</v>
      </c>
      <c r="C86" t="str">
        <f t="shared" ca="1" si="9"/>
        <v>Dr. Sarah Kim</v>
      </c>
      <c r="D86" t="str">
        <f t="shared" ca="1" si="10"/>
        <v>General Medicine</v>
      </c>
      <c r="E86" s="1">
        <f t="shared" ca="1" si="11"/>
        <v>46095</v>
      </c>
      <c r="F86" t="str">
        <f t="shared" ca="1" si="12"/>
        <v>Completed</v>
      </c>
      <c r="G86">
        <f t="shared" ca="1" si="13"/>
        <v>246</v>
      </c>
    </row>
    <row r="87" spans="1:7" x14ac:dyDescent="0.25">
      <c r="A87" t="str">
        <f t="shared" si="7"/>
        <v>A086</v>
      </c>
      <c r="B87" t="str">
        <f t="shared" ca="1" si="8"/>
        <v>P050</v>
      </c>
      <c r="C87" t="str">
        <f t="shared" ca="1" si="9"/>
        <v>Dr. Emily Watson</v>
      </c>
      <c r="D87" t="str">
        <f t="shared" ca="1" si="10"/>
        <v>Neurology</v>
      </c>
      <c r="E87" s="1">
        <f t="shared" ca="1" si="11"/>
        <v>46089</v>
      </c>
      <c r="F87" t="str">
        <f t="shared" ca="1" si="12"/>
        <v>Completed</v>
      </c>
      <c r="G87">
        <f t="shared" ca="1" si="13"/>
        <v>209</v>
      </c>
    </row>
    <row r="88" spans="1:7" x14ac:dyDescent="0.25">
      <c r="A88" t="str">
        <f t="shared" si="7"/>
        <v>A087</v>
      </c>
      <c r="B88" t="str">
        <f t="shared" ca="1" si="8"/>
        <v>P077</v>
      </c>
      <c r="C88" t="str">
        <f t="shared" ca="1" si="9"/>
        <v>Dr. James Carter</v>
      </c>
      <c r="D88" t="str">
        <f t="shared" ca="1" si="10"/>
        <v>Emergency Medicine</v>
      </c>
      <c r="E88" s="1">
        <f t="shared" ca="1" si="11"/>
        <v>46105</v>
      </c>
      <c r="F88" t="str">
        <f t="shared" ca="1" si="12"/>
        <v>Cancelled</v>
      </c>
      <c r="G88">
        <f t="shared" ca="1" si="13"/>
        <v>278</v>
      </c>
    </row>
    <row r="89" spans="1:7" x14ac:dyDescent="0.25">
      <c r="A89" t="str">
        <f t="shared" si="7"/>
        <v>A088</v>
      </c>
      <c r="B89" t="str">
        <f t="shared" ca="1" si="8"/>
        <v>P039</v>
      </c>
      <c r="C89" t="str">
        <f t="shared" ca="1" si="9"/>
        <v>Dr. David Park</v>
      </c>
      <c r="D89" t="str">
        <f t="shared" ca="1" si="10"/>
        <v>Emergency Medicine</v>
      </c>
      <c r="E89" s="1">
        <f t="shared" ca="1" si="11"/>
        <v>46089</v>
      </c>
      <c r="F89" t="str">
        <f t="shared" ca="1" si="12"/>
        <v>No-Show</v>
      </c>
      <c r="G89">
        <f t="shared" ca="1" si="13"/>
        <v>136</v>
      </c>
    </row>
    <row r="90" spans="1:7" x14ac:dyDescent="0.25">
      <c r="A90" t="str">
        <f t="shared" si="7"/>
        <v>A089</v>
      </c>
      <c r="B90" t="str">
        <f t="shared" ca="1" si="8"/>
        <v>P093</v>
      </c>
      <c r="C90" t="str">
        <f t="shared" ca="1" si="9"/>
        <v>Dr. James Carter</v>
      </c>
      <c r="D90" t="str">
        <f t="shared" ca="1" si="10"/>
        <v>Pharmacy</v>
      </c>
      <c r="E90" s="1">
        <f t="shared" ca="1" si="11"/>
        <v>46090</v>
      </c>
      <c r="F90" t="str">
        <f t="shared" ca="1" si="12"/>
        <v>No-Show</v>
      </c>
      <c r="G90">
        <f t="shared" ca="1" si="13"/>
        <v>115</v>
      </c>
    </row>
    <row r="91" spans="1:7" x14ac:dyDescent="0.25">
      <c r="A91" t="str">
        <f t="shared" si="7"/>
        <v>A090</v>
      </c>
      <c r="B91" t="str">
        <f t="shared" ca="1" si="8"/>
        <v>P004</v>
      </c>
      <c r="C91" t="str">
        <f t="shared" ca="1" si="9"/>
        <v>Dr. Emily Watson</v>
      </c>
      <c r="D91" t="str">
        <f t="shared" ca="1" si="10"/>
        <v>Pharmacy</v>
      </c>
      <c r="E91" s="1">
        <f t="shared" ca="1" si="11"/>
        <v>46089</v>
      </c>
      <c r="F91" t="str">
        <f t="shared" ca="1" si="12"/>
        <v>No-Show</v>
      </c>
      <c r="G91">
        <f t="shared" ca="1" si="13"/>
        <v>197</v>
      </c>
    </row>
    <row r="92" spans="1:7" x14ac:dyDescent="0.25">
      <c r="A92" t="str">
        <f t="shared" si="7"/>
        <v>A091</v>
      </c>
      <c r="B92" t="str">
        <f t="shared" ca="1" si="8"/>
        <v>P041</v>
      </c>
      <c r="C92" t="str">
        <f t="shared" ca="1" si="9"/>
        <v>Dr. David Park</v>
      </c>
      <c r="D92" t="str">
        <f t="shared" ca="1" si="10"/>
        <v>Emergency Medicine</v>
      </c>
      <c r="E92" s="1">
        <f t="shared" ca="1" si="11"/>
        <v>46105</v>
      </c>
      <c r="F92" t="str">
        <f t="shared" ca="1" si="12"/>
        <v>No-Show</v>
      </c>
      <c r="G92">
        <f t="shared" ca="1" si="13"/>
        <v>232</v>
      </c>
    </row>
    <row r="93" spans="1:7" x14ac:dyDescent="0.25">
      <c r="A93" t="str">
        <f t="shared" si="7"/>
        <v>A092</v>
      </c>
      <c r="B93" t="str">
        <f t="shared" ca="1" si="8"/>
        <v>P094</v>
      </c>
      <c r="C93" t="str">
        <f t="shared" ca="1" si="9"/>
        <v>Dr. David Park</v>
      </c>
      <c r="D93" t="str">
        <f t="shared" ca="1" si="10"/>
        <v>Oncology</v>
      </c>
      <c r="E93" s="1">
        <f t="shared" ca="1" si="11"/>
        <v>46084</v>
      </c>
      <c r="F93" t="str">
        <f t="shared" ca="1" si="12"/>
        <v>Completed</v>
      </c>
      <c r="G93">
        <f t="shared" ca="1" si="13"/>
        <v>232</v>
      </c>
    </row>
    <row r="94" spans="1:7" x14ac:dyDescent="0.25">
      <c r="A94" t="str">
        <f t="shared" si="7"/>
        <v>A093</v>
      </c>
      <c r="B94" t="str">
        <f t="shared" ca="1" si="8"/>
        <v>P063</v>
      </c>
      <c r="C94" t="str">
        <f t="shared" ca="1" si="9"/>
        <v>Dr. Emily Watson</v>
      </c>
      <c r="D94" t="str">
        <f t="shared" ca="1" si="10"/>
        <v>Emergency Medicine</v>
      </c>
      <c r="E94" s="1">
        <f t="shared" ca="1" si="11"/>
        <v>46087</v>
      </c>
      <c r="F94" t="str">
        <f t="shared" ca="1" si="12"/>
        <v>No-Show</v>
      </c>
      <c r="G94">
        <f t="shared" ca="1" si="13"/>
        <v>138</v>
      </c>
    </row>
    <row r="95" spans="1:7" x14ac:dyDescent="0.25">
      <c r="A95" t="str">
        <f t="shared" si="7"/>
        <v>A094</v>
      </c>
      <c r="B95" t="str">
        <f t="shared" ca="1" si="8"/>
        <v>P007</v>
      </c>
      <c r="C95" t="str">
        <f t="shared" ca="1" si="9"/>
        <v>Dr. Michael Lee</v>
      </c>
      <c r="D95" t="str">
        <f t="shared" ca="1" si="10"/>
        <v>Psychiatry and Mental Health</v>
      </c>
      <c r="E95" s="1">
        <f t="shared" ca="1" si="11"/>
        <v>46098</v>
      </c>
      <c r="F95" t="str">
        <f t="shared" ca="1" si="12"/>
        <v>Cancelled</v>
      </c>
      <c r="G95">
        <f t="shared" ca="1" si="13"/>
        <v>278</v>
      </c>
    </row>
    <row r="96" spans="1:7" x14ac:dyDescent="0.25">
      <c r="A96" t="str">
        <f t="shared" si="7"/>
        <v>A095</v>
      </c>
      <c r="B96" t="str">
        <f t="shared" ca="1" si="8"/>
        <v>P070</v>
      </c>
      <c r="C96" t="str">
        <f t="shared" ca="1" si="9"/>
        <v>Dr. Sarah Kim</v>
      </c>
      <c r="D96" t="str">
        <f t="shared" ca="1" si="10"/>
        <v>Pharmacy</v>
      </c>
      <c r="E96" s="1">
        <f t="shared" ca="1" si="11"/>
        <v>46095</v>
      </c>
      <c r="F96" t="str">
        <f t="shared" ca="1" si="12"/>
        <v>Completed</v>
      </c>
      <c r="G96">
        <f t="shared" ca="1" si="13"/>
        <v>60</v>
      </c>
    </row>
    <row r="97" spans="1:7" x14ac:dyDescent="0.25">
      <c r="A97" t="str">
        <f t="shared" si="7"/>
        <v>A096</v>
      </c>
      <c r="B97" t="str">
        <f t="shared" ca="1" si="8"/>
        <v>P091</v>
      </c>
      <c r="C97" t="str">
        <f t="shared" ca="1" si="9"/>
        <v>Dr. Michael Lee</v>
      </c>
      <c r="D97" t="str">
        <f t="shared" ca="1" si="10"/>
        <v>Dermatology</v>
      </c>
      <c r="E97" s="1">
        <f t="shared" ca="1" si="11"/>
        <v>46107</v>
      </c>
      <c r="F97" t="str">
        <f t="shared" ca="1" si="12"/>
        <v>Completed</v>
      </c>
      <c r="G97">
        <f t="shared" ca="1" si="13"/>
        <v>72</v>
      </c>
    </row>
    <row r="98" spans="1:7" x14ac:dyDescent="0.25">
      <c r="A98" t="str">
        <f t="shared" si="7"/>
        <v>A097</v>
      </c>
      <c r="B98" t="str">
        <f t="shared" ca="1" si="8"/>
        <v>P014</v>
      </c>
      <c r="C98" t="str">
        <f t="shared" ca="1" si="9"/>
        <v>Dr. Emily Watson</v>
      </c>
      <c r="D98" t="str">
        <f t="shared" ca="1" si="10"/>
        <v>Dermatology</v>
      </c>
      <c r="E98" s="1">
        <f t="shared" ca="1" si="11"/>
        <v>46104</v>
      </c>
      <c r="F98" t="str">
        <f t="shared" ca="1" si="12"/>
        <v>No-Show</v>
      </c>
      <c r="G98">
        <f t="shared" ca="1" si="13"/>
        <v>194</v>
      </c>
    </row>
    <row r="99" spans="1:7" x14ac:dyDescent="0.25">
      <c r="A99" t="str">
        <f t="shared" si="7"/>
        <v>A098</v>
      </c>
      <c r="B99" t="str">
        <f t="shared" ca="1" si="8"/>
        <v>P086</v>
      </c>
      <c r="C99" t="str">
        <f t="shared" ca="1" si="9"/>
        <v>Dr. Emily Watson</v>
      </c>
      <c r="D99" t="str">
        <f t="shared" ca="1" si="10"/>
        <v>Pharmacy</v>
      </c>
      <c r="E99" s="1">
        <f t="shared" ca="1" si="11"/>
        <v>46086</v>
      </c>
      <c r="F99" t="str">
        <f t="shared" ca="1" si="12"/>
        <v>Cancelled</v>
      </c>
      <c r="G99">
        <f t="shared" ca="1" si="13"/>
        <v>193</v>
      </c>
    </row>
    <row r="100" spans="1:7" x14ac:dyDescent="0.25">
      <c r="A100" t="str">
        <f t="shared" si="7"/>
        <v>A099</v>
      </c>
      <c r="B100" t="str">
        <f t="shared" ca="1" si="8"/>
        <v>P047</v>
      </c>
      <c r="C100" t="str">
        <f t="shared" ca="1" si="9"/>
        <v>Dr. Michael Lee</v>
      </c>
      <c r="D100" t="str">
        <f t="shared" ca="1" si="10"/>
        <v>Physical Medicine and Rehabilitation</v>
      </c>
      <c r="E100" s="1">
        <f t="shared" ca="1" si="11"/>
        <v>46084</v>
      </c>
      <c r="F100" t="str">
        <f t="shared" ca="1" si="12"/>
        <v>Cancelled</v>
      </c>
      <c r="G100">
        <f t="shared" ca="1" si="13"/>
        <v>135</v>
      </c>
    </row>
    <row r="101" spans="1:7" x14ac:dyDescent="0.25">
      <c r="A101" t="str">
        <f t="shared" si="7"/>
        <v>A100</v>
      </c>
      <c r="B101" t="str">
        <f t="shared" ca="1" si="8"/>
        <v>P045</v>
      </c>
      <c r="C101" t="str">
        <f t="shared" ca="1" si="9"/>
        <v>Dr. Sarah Kim</v>
      </c>
      <c r="D101" t="str">
        <f t="shared" ca="1" si="10"/>
        <v>Physical Medicine and Rehabilitation</v>
      </c>
      <c r="E101" s="1">
        <f t="shared" ca="1" si="11"/>
        <v>46096</v>
      </c>
      <c r="F101" t="str">
        <f t="shared" ca="1" si="12"/>
        <v>Completed</v>
      </c>
      <c r="G101">
        <f t="shared" ca="1" si="13"/>
        <v>132</v>
      </c>
    </row>
    <row r="102" spans="1:7" x14ac:dyDescent="0.25">
      <c r="A102" t="str">
        <f t="shared" si="7"/>
        <v>A101</v>
      </c>
      <c r="B102" t="str">
        <f t="shared" ca="1" si="8"/>
        <v>P079</v>
      </c>
      <c r="C102" t="str">
        <f t="shared" ca="1" si="9"/>
        <v>Dr. David Park</v>
      </c>
      <c r="D102" t="str">
        <f t="shared" ca="1" si="10"/>
        <v>Cardiology</v>
      </c>
      <c r="E102" s="1">
        <f t="shared" ca="1" si="11"/>
        <v>46107</v>
      </c>
      <c r="F102" t="str">
        <f t="shared" ca="1" si="12"/>
        <v>No-Show</v>
      </c>
      <c r="G102">
        <f t="shared" ca="1" si="13"/>
        <v>78</v>
      </c>
    </row>
    <row r="103" spans="1:7" x14ac:dyDescent="0.25">
      <c r="A103" t="str">
        <f t="shared" si="7"/>
        <v>A102</v>
      </c>
      <c r="B103" t="str">
        <f t="shared" ca="1" si="8"/>
        <v>P040</v>
      </c>
      <c r="C103" t="str">
        <f t="shared" ca="1" si="9"/>
        <v>Dr. Emily Watson</v>
      </c>
      <c r="D103" t="str">
        <f t="shared" ca="1" si="10"/>
        <v>Psychiatry and Mental Health</v>
      </c>
      <c r="E103" s="1">
        <f t="shared" ca="1" si="11"/>
        <v>46111</v>
      </c>
      <c r="F103" t="str">
        <f t="shared" ca="1" si="12"/>
        <v>Cancelled</v>
      </c>
      <c r="G103">
        <f t="shared" ca="1" si="13"/>
        <v>114</v>
      </c>
    </row>
    <row r="104" spans="1:7" x14ac:dyDescent="0.25">
      <c r="A104" t="str">
        <f t="shared" si="7"/>
        <v>A103</v>
      </c>
      <c r="B104" t="str">
        <f t="shared" ca="1" si="8"/>
        <v>P086</v>
      </c>
      <c r="C104" t="str">
        <f t="shared" ca="1" si="9"/>
        <v>Dr. James Carter</v>
      </c>
      <c r="D104" t="str">
        <f t="shared" ca="1" si="10"/>
        <v>Psychiatry and Mental Health</v>
      </c>
      <c r="E104" s="1">
        <f t="shared" ca="1" si="11"/>
        <v>46085</v>
      </c>
      <c r="F104" t="str">
        <f t="shared" ca="1" si="12"/>
        <v>Cancelled</v>
      </c>
      <c r="G104">
        <f t="shared" ca="1" si="13"/>
        <v>291</v>
      </c>
    </row>
    <row r="105" spans="1:7" x14ac:dyDescent="0.25">
      <c r="A105" t="str">
        <f t="shared" si="7"/>
        <v>A104</v>
      </c>
      <c r="B105" t="str">
        <f t="shared" ca="1" si="8"/>
        <v>P056</v>
      </c>
      <c r="C105" t="str">
        <f t="shared" ca="1" si="9"/>
        <v>Dr. Michael Lee</v>
      </c>
      <c r="D105" t="str">
        <f t="shared" ca="1" si="10"/>
        <v>General Medicine</v>
      </c>
      <c r="E105" s="1">
        <f t="shared" ca="1" si="11"/>
        <v>46102</v>
      </c>
      <c r="F105" t="str">
        <f t="shared" ca="1" si="12"/>
        <v>No-Show</v>
      </c>
      <c r="G105">
        <f t="shared" ca="1" si="13"/>
        <v>288</v>
      </c>
    </row>
    <row r="106" spans="1:7" x14ac:dyDescent="0.25">
      <c r="A106" t="str">
        <f t="shared" si="7"/>
        <v>A105</v>
      </c>
      <c r="B106" t="str">
        <f t="shared" ca="1" si="8"/>
        <v>P087</v>
      </c>
      <c r="C106" t="str">
        <f t="shared" ca="1" si="9"/>
        <v>Dr. David Park</v>
      </c>
      <c r="D106" t="str">
        <f t="shared" ca="1" si="10"/>
        <v>Orthopedics</v>
      </c>
      <c r="E106" s="1">
        <f t="shared" ca="1" si="11"/>
        <v>46096</v>
      </c>
      <c r="F106" t="str">
        <f t="shared" ca="1" si="12"/>
        <v>Cancelled</v>
      </c>
      <c r="G106">
        <f t="shared" ca="1" si="13"/>
        <v>167</v>
      </c>
    </row>
    <row r="107" spans="1:7" x14ac:dyDescent="0.25">
      <c r="A107" t="str">
        <f t="shared" si="7"/>
        <v>A106</v>
      </c>
      <c r="B107" t="str">
        <f t="shared" ca="1" si="8"/>
        <v>P073</v>
      </c>
      <c r="C107" t="str">
        <f t="shared" ca="1" si="9"/>
        <v>Dr. Michael Lee</v>
      </c>
      <c r="D107" t="str">
        <f t="shared" ca="1" si="10"/>
        <v>Psychiatry and Mental Health</v>
      </c>
      <c r="E107" s="1">
        <f t="shared" ca="1" si="11"/>
        <v>46103</v>
      </c>
      <c r="F107" t="str">
        <f t="shared" ca="1" si="12"/>
        <v>Completed</v>
      </c>
      <c r="G107">
        <f t="shared" ca="1" si="13"/>
        <v>194</v>
      </c>
    </row>
    <row r="108" spans="1:7" x14ac:dyDescent="0.25">
      <c r="A108" t="str">
        <f t="shared" si="7"/>
        <v>A107</v>
      </c>
      <c r="B108" t="str">
        <f t="shared" ca="1" si="8"/>
        <v>P019</v>
      </c>
      <c r="C108" t="str">
        <f t="shared" ca="1" si="9"/>
        <v>Dr. Sarah Kim</v>
      </c>
      <c r="D108" t="str">
        <f t="shared" ca="1" si="10"/>
        <v>Psychiatry and Mental Health</v>
      </c>
      <c r="E108" s="1">
        <f t="shared" ca="1" si="11"/>
        <v>46110</v>
      </c>
      <c r="F108" t="str">
        <f t="shared" ca="1" si="12"/>
        <v>Completed</v>
      </c>
      <c r="G108">
        <f t="shared" ca="1" si="13"/>
        <v>255</v>
      </c>
    </row>
    <row r="109" spans="1:7" x14ac:dyDescent="0.25">
      <c r="A109" t="str">
        <f t="shared" si="7"/>
        <v>A108</v>
      </c>
      <c r="B109" t="str">
        <f t="shared" ca="1" si="8"/>
        <v>P054</v>
      </c>
      <c r="C109" t="str">
        <f t="shared" ca="1" si="9"/>
        <v>Dr. Michael Lee</v>
      </c>
      <c r="D109" t="str">
        <f t="shared" ca="1" si="10"/>
        <v>Pharmacy</v>
      </c>
      <c r="E109" s="1">
        <f t="shared" ca="1" si="11"/>
        <v>46097</v>
      </c>
      <c r="F109" t="str">
        <f t="shared" ca="1" si="12"/>
        <v>Completed</v>
      </c>
      <c r="G109">
        <f t="shared" ca="1" si="13"/>
        <v>103</v>
      </c>
    </row>
    <row r="110" spans="1:7" x14ac:dyDescent="0.25">
      <c r="A110" t="str">
        <f t="shared" si="7"/>
        <v>A109</v>
      </c>
      <c r="B110" t="str">
        <f t="shared" ca="1" si="8"/>
        <v>P040</v>
      </c>
      <c r="C110" t="str">
        <f t="shared" ca="1" si="9"/>
        <v>Dr. James Carter</v>
      </c>
      <c r="D110" t="str">
        <f t="shared" ca="1" si="10"/>
        <v>Pharmacy</v>
      </c>
      <c r="E110" s="1">
        <f t="shared" ca="1" si="11"/>
        <v>46099</v>
      </c>
      <c r="F110" t="str">
        <f t="shared" ca="1" si="12"/>
        <v>No-Show</v>
      </c>
      <c r="G110">
        <f t="shared" ca="1" si="13"/>
        <v>183</v>
      </c>
    </row>
    <row r="111" spans="1:7" x14ac:dyDescent="0.25">
      <c r="A111" t="str">
        <f t="shared" si="7"/>
        <v>A110</v>
      </c>
      <c r="B111" t="str">
        <f t="shared" ca="1" si="8"/>
        <v>P066</v>
      </c>
      <c r="C111" t="str">
        <f t="shared" ca="1" si="9"/>
        <v>Dr. David Park</v>
      </c>
      <c r="D111" t="str">
        <f t="shared" ca="1" si="10"/>
        <v>Orthopedics</v>
      </c>
      <c r="E111" s="1">
        <f t="shared" ca="1" si="11"/>
        <v>46085</v>
      </c>
      <c r="F111" t="str">
        <f t="shared" ca="1" si="12"/>
        <v>Cancelled</v>
      </c>
      <c r="G111">
        <f t="shared" ca="1" si="13"/>
        <v>202</v>
      </c>
    </row>
    <row r="112" spans="1:7" x14ac:dyDescent="0.25">
      <c r="A112" t="str">
        <f t="shared" si="7"/>
        <v>A111</v>
      </c>
      <c r="B112" t="str">
        <f t="shared" ca="1" si="8"/>
        <v>P019</v>
      </c>
      <c r="C112" t="str">
        <f t="shared" ca="1" si="9"/>
        <v>Dr. Emily Watson</v>
      </c>
      <c r="D112" t="str">
        <f t="shared" ca="1" si="10"/>
        <v>Orthopedics</v>
      </c>
      <c r="E112" s="1">
        <f t="shared" ca="1" si="11"/>
        <v>46094</v>
      </c>
      <c r="F112" t="str">
        <f t="shared" ca="1" si="12"/>
        <v>Completed</v>
      </c>
      <c r="G112">
        <f t="shared" ca="1" si="13"/>
        <v>91</v>
      </c>
    </row>
    <row r="113" spans="1:7" x14ac:dyDescent="0.25">
      <c r="A113" t="str">
        <f t="shared" si="7"/>
        <v>A112</v>
      </c>
      <c r="B113" t="str">
        <f t="shared" ca="1" si="8"/>
        <v>P058</v>
      </c>
      <c r="C113" t="str">
        <f t="shared" ca="1" si="9"/>
        <v>Dr. Emily Watson</v>
      </c>
      <c r="D113" t="str">
        <f t="shared" ca="1" si="10"/>
        <v>Physical Medicine and Rehabilitation</v>
      </c>
      <c r="E113" s="1">
        <f t="shared" ca="1" si="11"/>
        <v>46098</v>
      </c>
      <c r="F113" t="str">
        <f t="shared" ca="1" si="12"/>
        <v>Cancelled</v>
      </c>
      <c r="G113">
        <f t="shared" ca="1" si="13"/>
        <v>108</v>
      </c>
    </row>
    <row r="114" spans="1:7" x14ac:dyDescent="0.25">
      <c r="A114" t="str">
        <f t="shared" si="7"/>
        <v>A113</v>
      </c>
      <c r="B114" t="str">
        <f t="shared" ca="1" si="8"/>
        <v>P018</v>
      </c>
      <c r="C114" t="str">
        <f t="shared" ca="1" si="9"/>
        <v>Dr. Sarah Kim</v>
      </c>
      <c r="D114" t="str">
        <f t="shared" ca="1" si="10"/>
        <v>Neurology</v>
      </c>
      <c r="E114" s="1">
        <f t="shared" ca="1" si="11"/>
        <v>46101</v>
      </c>
      <c r="F114" t="str">
        <f t="shared" ca="1" si="12"/>
        <v>Cancelled</v>
      </c>
      <c r="G114">
        <f t="shared" ca="1" si="13"/>
        <v>156</v>
      </c>
    </row>
    <row r="115" spans="1:7" x14ac:dyDescent="0.25">
      <c r="A115" t="str">
        <f t="shared" si="7"/>
        <v>A114</v>
      </c>
      <c r="B115" t="str">
        <f t="shared" ca="1" si="8"/>
        <v>P066</v>
      </c>
      <c r="C115" t="str">
        <f t="shared" ca="1" si="9"/>
        <v>Dr. Sarah Kim</v>
      </c>
      <c r="D115" t="str">
        <f t="shared" ca="1" si="10"/>
        <v>Oncology</v>
      </c>
      <c r="E115" s="1">
        <f t="shared" ca="1" si="11"/>
        <v>46110</v>
      </c>
      <c r="F115" t="str">
        <f t="shared" ca="1" si="12"/>
        <v>Cancelled</v>
      </c>
      <c r="G115">
        <f t="shared" ca="1" si="13"/>
        <v>262</v>
      </c>
    </row>
    <row r="116" spans="1:7" x14ac:dyDescent="0.25">
      <c r="A116" t="str">
        <f t="shared" si="7"/>
        <v>A115</v>
      </c>
      <c r="B116" t="str">
        <f t="shared" ca="1" si="8"/>
        <v>P046</v>
      </c>
      <c r="C116" t="str">
        <f t="shared" ca="1" si="9"/>
        <v>Dr. James Carter</v>
      </c>
      <c r="D116" t="str">
        <f t="shared" ca="1" si="10"/>
        <v>Psychiatry and Mental Health</v>
      </c>
      <c r="E116" s="1">
        <f t="shared" ca="1" si="11"/>
        <v>46095</v>
      </c>
      <c r="F116" t="str">
        <f t="shared" ca="1" si="12"/>
        <v>Cancelled</v>
      </c>
      <c r="G116">
        <f t="shared" ca="1" si="13"/>
        <v>213</v>
      </c>
    </row>
    <row r="117" spans="1:7" x14ac:dyDescent="0.25">
      <c r="A117" t="str">
        <f t="shared" si="7"/>
        <v>A116</v>
      </c>
      <c r="B117" t="str">
        <f t="shared" ca="1" si="8"/>
        <v>P050</v>
      </c>
      <c r="C117" t="str">
        <f t="shared" ca="1" si="9"/>
        <v>Dr. Sarah Kim</v>
      </c>
      <c r="D117" t="str">
        <f t="shared" ca="1" si="10"/>
        <v>Emergency Medicine</v>
      </c>
      <c r="E117" s="1">
        <f t="shared" ca="1" si="11"/>
        <v>46097</v>
      </c>
      <c r="F117" t="str">
        <f t="shared" ca="1" si="12"/>
        <v>Completed</v>
      </c>
      <c r="G117">
        <f t="shared" ca="1" si="13"/>
        <v>171</v>
      </c>
    </row>
    <row r="118" spans="1:7" x14ac:dyDescent="0.25">
      <c r="A118" t="str">
        <f t="shared" si="7"/>
        <v>A117</v>
      </c>
      <c r="B118" t="str">
        <f t="shared" ca="1" si="8"/>
        <v>P022</v>
      </c>
      <c r="C118" t="str">
        <f t="shared" ca="1" si="9"/>
        <v>Dr. Michael Lee</v>
      </c>
      <c r="D118" t="str">
        <f t="shared" ca="1" si="10"/>
        <v>Physical Medicine and Rehabilitation</v>
      </c>
      <c r="E118" s="1">
        <f t="shared" ca="1" si="11"/>
        <v>46087</v>
      </c>
      <c r="F118" t="str">
        <f t="shared" ca="1" si="12"/>
        <v>No-Show</v>
      </c>
      <c r="G118">
        <f t="shared" ca="1" si="13"/>
        <v>80</v>
      </c>
    </row>
    <row r="119" spans="1:7" x14ac:dyDescent="0.25">
      <c r="A119" t="str">
        <f t="shared" si="7"/>
        <v>A118</v>
      </c>
      <c r="B119" t="str">
        <f t="shared" ca="1" si="8"/>
        <v>P097</v>
      </c>
      <c r="C119" t="str">
        <f t="shared" ca="1" si="9"/>
        <v>Dr. Emily Watson</v>
      </c>
      <c r="D119" t="str">
        <f t="shared" ca="1" si="10"/>
        <v>Orthopedics</v>
      </c>
      <c r="E119" s="1">
        <f t="shared" ca="1" si="11"/>
        <v>46088</v>
      </c>
      <c r="F119" t="str">
        <f t="shared" ca="1" si="12"/>
        <v>Cancelled</v>
      </c>
      <c r="G119">
        <f t="shared" ca="1" si="13"/>
        <v>194</v>
      </c>
    </row>
    <row r="120" spans="1:7" x14ac:dyDescent="0.25">
      <c r="A120" t="str">
        <f t="shared" si="7"/>
        <v>A119</v>
      </c>
      <c r="B120" t="str">
        <f t="shared" ca="1" si="8"/>
        <v>P015</v>
      </c>
      <c r="C120" t="str">
        <f t="shared" ca="1" si="9"/>
        <v>Dr. Michael Lee</v>
      </c>
      <c r="D120" t="str">
        <f t="shared" ca="1" si="10"/>
        <v>Orthopedics</v>
      </c>
      <c r="E120" s="1">
        <f t="shared" ca="1" si="11"/>
        <v>46099</v>
      </c>
      <c r="F120" t="str">
        <f t="shared" ca="1" si="12"/>
        <v>Cancelled</v>
      </c>
      <c r="G120">
        <f t="shared" ca="1" si="13"/>
        <v>91</v>
      </c>
    </row>
    <row r="121" spans="1:7" x14ac:dyDescent="0.25">
      <c r="A121" t="str">
        <f t="shared" si="7"/>
        <v>A120</v>
      </c>
      <c r="B121" t="str">
        <f t="shared" ca="1" si="8"/>
        <v>P065</v>
      </c>
      <c r="C121" t="str">
        <f t="shared" ca="1" si="9"/>
        <v>Dr. Sarah Kim</v>
      </c>
      <c r="D121" t="str">
        <f t="shared" ca="1" si="10"/>
        <v>Cardiology</v>
      </c>
      <c r="E121" s="1">
        <f t="shared" ca="1" si="11"/>
        <v>46110</v>
      </c>
      <c r="F121" t="str">
        <f t="shared" ca="1" si="12"/>
        <v>Completed</v>
      </c>
      <c r="G121">
        <f t="shared" ca="1" si="13"/>
        <v>133</v>
      </c>
    </row>
    <row r="122" spans="1:7" x14ac:dyDescent="0.25">
      <c r="A122" t="str">
        <f t="shared" si="7"/>
        <v>A121</v>
      </c>
      <c r="B122" t="str">
        <f t="shared" ca="1" si="8"/>
        <v>P053</v>
      </c>
      <c r="C122" t="str">
        <f t="shared" ca="1" si="9"/>
        <v>Dr. James Carter</v>
      </c>
      <c r="D122" t="str">
        <f t="shared" ca="1" si="10"/>
        <v>Dermatology</v>
      </c>
      <c r="E122" s="1">
        <f t="shared" ca="1" si="11"/>
        <v>46084</v>
      </c>
      <c r="F122" t="str">
        <f t="shared" ca="1" si="12"/>
        <v>Completed</v>
      </c>
      <c r="G122">
        <f t="shared" ca="1" si="13"/>
        <v>189</v>
      </c>
    </row>
    <row r="123" spans="1:7" x14ac:dyDescent="0.25">
      <c r="A123" t="str">
        <f t="shared" si="7"/>
        <v>A122</v>
      </c>
      <c r="B123" t="str">
        <f t="shared" ca="1" si="8"/>
        <v>P019</v>
      </c>
      <c r="C123" t="str">
        <f t="shared" ca="1" si="9"/>
        <v>Dr. Michael Lee</v>
      </c>
      <c r="D123" t="str">
        <f t="shared" ca="1" si="10"/>
        <v>Pharmacy</v>
      </c>
      <c r="E123" s="1">
        <f t="shared" ca="1" si="11"/>
        <v>46099</v>
      </c>
      <c r="F123" t="str">
        <f t="shared" ca="1" si="12"/>
        <v>No-Show</v>
      </c>
      <c r="G123">
        <f t="shared" ca="1" si="13"/>
        <v>115</v>
      </c>
    </row>
    <row r="124" spans="1:7" x14ac:dyDescent="0.25">
      <c r="A124" t="str">
        <f t="shared" si="7"/>
        <v>A123</v>
      </c>
      <c r="B124" t="str">
        <f t="shared" ca="1" si="8"/>
        <v>P096</v>
      </c>
      <c r="C124" t="str">
        <f t="shared" ca="1" si="9"/>
        <v>Dr. Sarah Kim</v>
      </c>
      <c r="D124" t="str">
        <f t="shared" ca="1" si="10"/>
        <v>Emergency Medicine</v>
      </c>
      <c r="E124" s="1">
        <f t="shared" ca="1" si="11"/>
        <v>46087</v>
      </c>
      <c r="F124" t="str">
        <f t="shared" ca="1" si="12"/>
        <v>Cancelled</v>
      </c>
      <c r="G124">
        <f t="shared" ca="1" si="13"/>
        <v>251</v>
      </c>
    </row>
    <row r="125" spans="1:7" x14ac:dyDescent="0.25">
      <c r="A125" t="str">
        <f t="shared" si="7"/>
        <v>A124</v>
      </c>
      <c r="B125" t="str">
        <f t="shared" ca="1" si="8"/>
        <v>P019</v>
      </c>
      <c r="C125" t="str">
        <f t="shared" ca="1" si="9"/>
        <v>Dr. David Park</v>
      </c>
      <c r="D125" t="str">
        <f t="shared" ca="1" si="10"/>
        <v>Neurology</v>
      </c>
      <c r="E125" s="1">
        <f t="shared" ca="1" si="11"/>
        <v>46098</v>
      </c>
      <c r="F125" t="str">
        <f t="shared" ca="1" si="12"/>
        <v>No-Show</v>
      </c>
      <c r="G125">
        <f t="shared" ca="1" si="13"/>
        <v>286</v>
      </c>
    </row>
    <row r="126" spans="1:7" x14ac:dyDescent="0.25">
      <c r="A126" t="str">
        <f t="shared" si="7"/>
        <v>A125</v>
      </c>
      <c r="B126" t="str">
        <f t="shared" ca="1" si="8"/>
        <v>P005</v>
      </c>
      <c r="C126" t="str">
        <f t="shared" ca="1" si="9"/>
        <v>Dr. James Carter</v>
      </c>
      <c r="D126" t="str">
        <f t="shared" ca="1" si="10"/>
        <v>Orthopedics</v>
      </c>
      <c r="E126" s="1">
        <f t="shared" ca="1" si="11"/>
        <v>46086</v>
      </c>
      <c r="F126" t="str">
        <f t="shared" ca="1" si="12"/>
        <v>Cancelled</v>
      </c>
      <c r="G126">
        <f t="shared" ca="1" si="13"/>
        <v>247</v>
      </c>
    </row>
    <row r="127" spans="1:7" x14ac:dyDescent="0.25">
      <c r="A127" t="str">
        <f t="shared" si="7"/>
        <v>A126</v>
      </c>
      <c r="B127" t="str">
        <f t="shared" ca="1" si="8"/>
        <v>P079</v>
      </c>
      <c r="C127" t="str">
        <f t="shared" ca="1" si="9"/>
        <v>Dr. James Carter</v>
      </c>
      <c r="D127" t="str">
        <f t="shared" ca="1" si="10"/>
        <v>Physical Medicine and Rehabilitation</v>
      </c>
      <c r="E127" s="1">
        <f t="shared" ca="1" si="11"/>
        <v>46102</v>
      </c>
      <c r="F127" t="str">
        <f t="shared" ca="1" si="12"/>
        <v>Completed</v>
      </c>
      <c r="G127">
        <f t="shared" ca="1" si="13"/>
        <v>57</v>
      </c>
    </row>
    <row r="128" spans="1:7" x14ac:dyDescent="0.25">
      <c r="A128" t="str">
        <f t="shared" si="7"/>
        <v>A127</v>
      </c>
      <c r="B128" t="str">
        <f t="shared" ca="1" si="8"/>
        <v>P085</v>
      </c>
      <c r="C128" t="str">
        <f t="shared" ca="1" si="9"/>
        <v>Dr. James Carter</v>
      </c>
      <c r="D128" t="str">
        <f t="shared" ca="1" si="10"/>
        <v>General Medicine</v>
      </c>
      <c r="E128" s="1">
        <f t="shared" ca="1" si="11"/>
        <v>46110</v>
      </c>
      <c r="F128" t="str">
        <f t="shared" ca="1" si="12"/>
        <v>Completed</v>
      </c>
      <c r="G128">
        <f t="shared" ca="1" si="13"/>
        <v>231</v>
      </c>
    </row>
    <row r="129" spans="1:7" x14ac:dyDescent="0.25">
      <c r="A129" t="str">
        <f t="shared" si="7"/>
        <v>A128</v>
      </c>
      <c r="B129" t="str">
        <f t="shared" ca="1" si="8"/>
        <v>P031</v>
      </c>
      <c r="C129" t="str">
        <f t="shared" ca="1" si="9"/>
        <v>Dr. David Park</v>
      </c>
      <c r="D129" t="str">
        <f t="shared" ca="1" si="10"/>
        <v>Cardiology</v>
      </c>
      <c r="E129" s="1">
        <f t="shared" ca="1" si="11"/>
        <v>46106</v>
      </c>
      <c r="F129" t="str">
        <f t="shared" ca="1" si="12"/>
        <v>Completed</v>
      </c>
      <c r="G129">
        <f t="shared" ca="1" si="13"/>
        <v>125</v>
      </c>
    </row>
    <row r="130" spans="1:7" x14ac:dyDescent="0.25">
      <c r="A130" t="str">
        <f t="shared" si="7"/>
        <v>A129</v>
      </c>
      <c r="B130" t="str">
        <f t="shared" ca="1" si="8"/>
        <v>P078</v>
      </c>
      <c r="C130" t="str">
        <f t="shared" ca="1" si="9"/>
        <v>Dr. David Park</v>
      </c>
      <c r="D130" t="str">
        <f t="shared" ca="1" si="10"/>
        <v>Neurology</v>
      </c>
      <c r="E130" s="1">
        <f t="shared" ca="1" si="11"/>
        <v>46104</v>
      </c>
      <c r="F130" t="str">
        <f t="shared" ca="1" si="12"/>
        <v>Cancelled</v>
      </c>
      <c r="G130">
        <f t="shared" ca="1" si="13"/>
        <v>238</v>
      </c>
    </row>
    <row r="131" spans="1:7" x14ac:dyDescent="0.25">
      <c r="A131" t="str">
        <f t="shared" ref="A131:A194" si="14">"A"&amp;TEXT(ROW(A130),"000")</f>
        <v>A130</v>
      </c>
      <c r="B131" t="str">
        <f t="shared" ref="B131:B194" ca="1" si="15">"P"&amp;TEXT(RANDBETWEEN(1,100),"000")</f>
        <v>P011</v>
      </c>
      <c r="C131" t="str">
        <f t="shared" ref="C131:C194" ca="1" si="16">CHOOSE(RANDBETWEEN(1,5),"Dr. James Carter","Dr. Emily Watson","Dr. Michael Lee","Dr. Sarah Kim","Dr. David Park")</f>
        <v>Dr. Emily Watson</v>
      </c>
      <c r="D131" t="str">
        <f t="shared" ref="D131:D194" ca="1" si="17">CHOOSE(RANDBETWEEN(1,10),"Cardiology","Dermatology","Neurology","Orthopedics","General Medicine","Emergency Medicine","Oncology","Physical Medicine and Rehabilitation","Pharmacy","Psychiatry and Mental Health")</f>
        <v>General Medicine</v>
      </c>
      <c r="E131" s="1">
        <f t="shared" ref="E131:E194" ca="1" si="18">DATE(2026,3,RANDBETWEEN(1,30))</f>
        <v>46094</v>
      </c>
      <c r="F131" t="str">
        <f t="shared" ref="F131:F194" ca="1" si="19">CHOOSE(RANDBETWEEN(1,3),"Completed","No-Show","Cancelled")</f>
        <v>Cancelled</v>
      </c>
      <c r="G131">
        <f t="shared" ref="G131:G194" ca="1" si="20">RANDBETWEEN(50,300)</f>
        <v>116</v>
      </c>
    </row>
    <row r="132" spans="1:7" x14ac:dyDescent="0.25">
      <c r="A132" t="str">
        <f t="shared" si="14"/>
        <v>A131</v>
      </c>
      <c r="B132" t="str">
        <f t="shared" ca="1" si="15"/>
        <v>P068</v>
      </c>
      <c r="C132" t="str">
        <f t="shared" ca="1" si="16"/>
        <v>Dr. David Park</v>
      </c>
      <c r="D132" t="str">
        <f t="shared" ca="1" si="17"/>
        <v>Orthopedics</v>
      </c>
      <c r="E132" s="1">
        <f t="shared" ca="1" si="18"/>
        <v>46105</v>
      </c>
      <c r="F132" t="str">
        <f t="shared" ca="1" si="19"/>
        <v>No-Show</v>
      </c>
      <c r="G132">
        <f t="shared" ca="1" si="20"/>
        <v>125</v>
      </c>
    </row>
    <row r="133" spans="1:7" x14ac:dyDescent="0.25">
      <c r="A133" t="str">
        <f t="shared" si="14"/>
        <v>A132</v>
      </c>
      <c r="B133" t="str">
        <f t="shared" ca="1" si="15"/>
        <v>P017</v>
      </c>
      <c r="C133" t="str">
        <f t="shared" ca="1" si="16"/>
        <v>Dr. James Carter</v>
      </c>
      <c r="D133" t="str">
        <f t="shared" ca="1" si="17"/>
        <v>Dermatology</v>
      </c>
      <c r="E133" s="1">
        <f t="shared" ca="1" si="18"/>
        <v>46109</v>
      </c>
      <c r="F133" t="str">
        <f t="shared" ca="1" si="19"/>
        <v>No-Show</v>
      </c>
      <c r="G133">
        <f t="shared" ca="1" si="20"/>
        <v>257</v>
      </c>
    </row>
    <row r="134" spans="1:7" x14ac:dyDescent="0.25">
      <c r="A134" t="str">
        <f t="shared" si="14"/>
        <v>A133</v>
      </c>
      <c r="B134" t="str">
        <f t="shared" ca="1" si="15"/>
        <v>P074</v>
      </c>
      <c r="C134" t="str">
        <f t="shared" ca="1" si="16"/>
        <v>Dr. Emily Watson</v>
      </c>
      <c r="D134" t="str">
        <f t="shared" ca="1" si="17"/>
        <v>Dermatology</v>
      </c>
      <c r="E134" s="1">
        <f t="shared" ca="1" si="18"/>
        <v>46083</v>
      </c>
      <c r="F134" t="str">
        <f t="shared" ca="1" si="19"/>
        <v>Completed</v>
      </c>
      <c r="G134">
        <f t="shared" ca="1" si="20"/>
        <v>189</v>
      </c>
    </row>
    <row r="135" spans="1:7" x14ac:dyDescent="0.25">
      <c r="A135" t="str">
        <f t="shared" si="14"/>
        <v>A134</v>
      </c>
      <c r="B135" t="str">
        <f t="shared" ca="1" si="15"/>
        <v>P015</v>
      </c>
      <c r="C135" t="str">
        <f t="shared" ca="1" si="16"/>
        <v>Dr. David Park</v>
      </c>
      <c r="D135" t="str">
        <f t="shared" ca="1" si="17"/>
        <v>Orthopedics</v>
      </c>
      <c r="E135" s="1">
        <f t="shared" ca="1" si="18"/>
        <v>46108</v>
      </c>
      <c r="F135" t="str">
        <f t="shared" ca="1" si="19"/>
        <v>No-Show</v>
      </c>
      <c r="G135">
        <f t="shared" ca="1" si="20"/>
        <v>118</v>
      </c>
    </row>
    <row r="136" spans="1:7" x14ac:dyDescent="0.25">
      <c r="A136" t="str">
        <f t="shared" si="14"/>
        <v>A135</v>
      </c>
      <c r="B136" t="str">
        <f t="shared" ca="1" si="15"/>
        <v>P026</v>
      </c>
      <c r="C136" t="str">
        <f t="shared" ca="1" si="16"/>
        <v>Dr. Michael Lee</v>
      </c>
      <c r="D136" t="str">
        <f t="shared" ca="1" si="17"/>
        <v>Neurology</v>
      </c>
      <c r="E136" s="1">
        <f t="shared" ca="1" si="18"/>
        <v>46082</v>
      </c>
      <c r="F136" t="str">
        <f t="shared" ca="1" si="19"/>
        <v>Completed</v>
      </c>
      <c r="G136">
        <f t="shared" ca="1" si="20"/>
        <v>253</v>
      </c>
    </row>
    <row r="137" spans="1:7" x14ac:dyDescent="0.25">
      <c r="A137" t="str">
        <f t="shared" si="14"/>
        <v>A136</v>
      </c>
      <c r="B137" t="str">
        <f t="shared" ca="1" si="15"/>
        <v>P021</v>
      </c>
      <c r="C137" t="str">
        <f t="shared" ca="1" si="16"/>
        <v>Dr. David Park</v>
      </c>
      <c r="D137" t="str">
        <f t="shared" ca="1" si="17"/>
        <v>Oncology</v>
      </c>
      <c r="E137" s="1">
        <f t="shared" ca="1" si="18"/>
        <v>46097</v>
      </c>
      <c r="F137" t="str">
        <f t="shared" ca="1" si="19"/>
        <v>Cancelled</v>
      </c>
      <c r="G137">
        <f t="shared" ca="1" si="20"/>
        <v>66</v>
      </c>
    </row>
    <row r="138" spans="1:7" x14ac:dyDescent="0.25">
      <c r="A138" t="str">
        <f t="shared" si="14"/>
        <v>A137</v>
      </c>
      <c r="B138" t="str">
        <f t="shared" ca="1" si="15"/>
        <v>P005</v>
      </c>
      <c r="C138" t="str">
        <f t="shared" ca="1" si="16"/>
        <v>Dr. Emily Watson</v>
      </c>
      <c r="D138" t="str">
        <f t="shared" ca="1" si="17"/>
        <v>Physical Medicine and Rehabilitation</v>
      </c>
      <c r="E138" s="1">
        <f t="shared" ca="1" si="18"/>
        <v>46106</v>
      </c>
      <c r="F138" t="str">
        <f t="shared" ca="1" si="19"/>
        <v>No-Show</v>
      </c>
      <c r="G138">
        <f t="shared" ca="1" si="20"/>
        <v>295</v>
      </c>
    </row>
    <row r="139" spans="1:7" x14ac:dyDescent="0.25">
      <c r="A139" t="str">
        <f t="shared" si="14"/>
        <v>A138</v>
      </c>
      <c r="B139" t="str">
        <f t="shared" ca="1" si="15"/>
        <v>P019</v>
      </c>
      <c r="C139" t="str">
        <f t="shared" ca="1" si="16"/>
        <v>Dr. James Carter</v>
      </c>
      <c r="D139" t="str">
        <f t="shared" ca="1" si="17"/>
        <v>Pharmacy</v>
      </c>
      <c r="E139" s="1">
        <f t="shared" ca="1" si="18"/>
        <v>46091</v>
      </c>
      <c r="F139" t="str">
        <f t="shared" ca="1" si="19"/>
        <v>No-Show</v>
      </c>
      <c r="G139">
        <f t="shared" ca="1" si="20"/>
        <v>178</v>
      </c>
    </row>
    <row r="140" spans="1:7" x14ac:dyDescent="0.25">
      <c r="A140" t="str">
        <f t="shared" si="14"/>
        <v>A139</v>
      </c>
      <c r="B140" t="str">
        <f t="shared" ca="1" si="15"/>
        <v>P009</v>
      </c>
      <c r="C140" t="str">
        <f t="shared" ca="1" si="16"/>
        <v>Dr. Emily Watson</v>
      </c>
      <c r="D140" t="str">
        <f t="shared" ca="1" si="17"/>
        <v>Neurology</v>
      </c>
      <c r="E140" s="1">
        <f t="shared" ca="1" si="18"/>
        <v>46100</v>
      </c>
      <c r="F140" t="str">
        <f t="shared" ca="1" si="19"/>
        <v>Cancelled</v>
      </c>
      <c r="G140">
        <f t="shared" ca="1" si="20"/>
        <v>70</v>
      </c>
    </row>
    <row r="141" spans="1:7" x14ac:dyDescent="0.25">
      <c r="A141" t="str">
        <f t="shared" si="14"/>
        <v>A140</v>
      </c>
      <c r="B141" t="str">
        <f t="shared" ca="1" si="15"/>
        <v>P046</v>
      </c>
      <c r="C141" t="str">
        <f t="shared" ca="1" si="16"/>
        <v>Dr. Sarah Kim</v>
      </c>
      <c r="D141" t="str">
        <f t="shared" ca="1" si="17"/>
        <v>General Medicine</v>
      </c>
      <c r="E141" s="1">
        <f t="shared" ca="1" si="18"/>
        <v>46096</v>
      </c>
      <c r="F141" t="str">
        <f t="shared" ca="1" si="19"/>
        <v>Cancelled</v>
      </c>
      <c r="G141">
        <f t="shared" ca="1" si="20"/>
        <v>125</v>
      </c>
    </row>
    <row r="142" spans="1:7" x14ac:dyDescent="0.25">
      <c r="A142" t="str">
        <f t="shared" si="14"/>
        <v>A141</v>
      </c>
      <c r="B142" t="str">
        <f t="shared" ca="1" si="15"/>
        <v>P054</v>
      </c>
      <c r="C142" t="str">
        <f t="shared" ca="1" si="16"/>
        <v>Dr. Sarah Kim</v>
      </c>
      <c r="D142" t="str">
        <f t="shared" ca="1" si="17"/>
        <v>Dermatology</v>
      </c>
      <c r="E142" s="1">
        <f t="shared" ca="1" si="18"/>
        <v>46084</v>
      </c>
      <c r="F142" t="str">
        <f t="shared" ca="1" si="19"/>
        <v>No-Show</v>
      </c>
      <c r="G142">
        <f t="shared" ca="1" si="20"/>
        <v>113</v>
      </c>
    </row>
    <row r="143" spans="1:7" x14ac:dyDescent="0.25">
      <c r="A143" t="str">
        <f t="shared" si="14"/>
        <v>A142</v>
      </c>
      <c r="B143" t="str">
        <f t="shared" ca="1" si="15"/>
        <v>P056</v>
      </c>
      <c r="C143" t="str">
        <f t="shared" ca="1" si="16"/>
        <v>Dr. James Carter</v>
      </c>
      <c r="D143" t="str">
        <f t="shared" ca="1" si="17"/>
        <v>General Medicine</v>
      </c>
      <c r="E143" s="1">
        <f t="shared" ca="1" si="18"/>
        <v>46111</v>
      </c>
      <c r="F143" t="str">
        <f t="shared" ca="1" si="19"/>
        <v>No-Show</v>
      </c>
      <c r="G143">
        <f t="shared" ca="1" si="20"/>
        <v>279</v>
      </c>
    </row>
    <row r="144" spans="1:7" x14ac:dyDescent="0.25">
      <c r="A144" t="str">
        <f t="shared" si="14"/>
        <v>A143</v>
      </c>
      <c r="B144" t="str">
        <f t="shared" ca="1" si="15"/>
        <v>P072</v>
      </c>
      <c r="C144" t="str">
        <f t="shared" ca="1" si="16"/>
        <v>Dr. James Carter</v>
      </c>
      <c r="D144" t="str">
        <f t="shared" ca="1" si="17"/>
        <v>Emergency Medicine</v>
      </c>
      <c r="E144" s="1">
        <f t="shared" ca="1" si="18"/>
        <v>46108</v>
      </c>
      <c r="F144" t="str">
        <f t="shared" ca="1" si="19"/>
        <v>No-Show</v>
      </c>
      <c r="G144">
        <f t="shared" ca="1" si="20"/>
        <v>99</v>
      </c>
    </row>
    <row r="145" spans="1:7" x14ac:dyDescent="0.25">
      <c r="A145" t="str">
        <f t="shared" si="14"/>
        <v>A144</v>
      </c>
      <c r="B145" t="str">
        <f t="shared" ca="1" si="15"/>
        <v>P031</v>
      </c>
      <c r="C145" t="str">
        <f t="shared" ca="1" si="16"/>
        <v>Dr. Michael Lee</v>
      </c>
      <c r="D145" t="str">
        <f t="shared" ca="1" si="17"/>
        <v>Cardiology</v>
      </c>
      <c r="E145" s="1">
        <f t="shared" ca="1" si="18"/>
        <v>46083</v>
      </c>
      <c r="F145" t="str">
        <f t="shared" ca="1" si="19"/>
        <v>Completed</v>
      </c>
      <c r="G145">
        <f t="shared" ca="1" si="20"/>
        <v>287</v>
      </c>
    </row>
    <row r="146" spans="1:7" x14ac:dyDescent="0.25">
      <c r="A146" t="str">
        <f t="shared" si="14"/>
        <v>A145</v>
      </c>
      <c r="B146" t="str">
        <f t="shared" ca="1" si="15"/>
        <v>P086</v>
      </c>
      <c r="C146" t="str">
        <f t="shared" ca="1" si="16"/>
        <v>Dr. Sarah Kim</v>
      </c>
      <c r="D146" t="str">
        <f t="shared" ca="1" si="17"/>
        <v>Emergency Medicine</v>
      </c>
      <c r="E146" s="1">
        <f t="shared" ca="1" si="18"/>
        <v>46089</v>
      </c>
      <c r="F146" t="str">
        <f t="shared" ca="1" si="19"/>
        <v>Cancelled</v>
      </c>
      <c r="G146">
        <f t="shared" ca="1" si="20"/>
        <v>56</v>
      </c>
    </row>
    <row r="147" spans="1:7" x14ac:dyDescent="0.25">
      <c r="A147" t="str">
        <f t="shared" si="14"/>
        <v>A146</v>
      </c>
      <c r="B147" t="str">
        <f t="shared" ca="1" si="15"/>
        <v>P090</v>
      </c>
      <c r="C147" t="str">
        <f t="shared" ca="1" si="16"/>
        <v>Dr. Michael Lee</v>
      </c>
      <c r="D147" t="str">
        <f t="shared" ca="1" si="17"/>
        <v>Physical Medicine and Rehabilitation</v>
      </c>
      <c r="E147" s="1">
        <f t="shared" ca="1" si="18"/>
        <v>46088</v>
      </c>
      <c r="F147" t="str">
        <f t="shared" ca="1" si="19"/>
        <v>Completed</v>
      </c>
      <c r="G147">
        <f t="shared" ca="1" si="20"/>
        <v>232</v>
      </c>
    </row>
    <row r="148" spans="1:7" x14ac:dyDescent="0.25">
      <c r="A148" t="str">
        <f t="shared" si="14"/>
        <v>A147</v>
      </c>
      <c r="B148" t="str">
        <f t="shared" ca="1" si="15"/>
        <v>P011</v>
      </c>
      <c r="C148" t="str">
        <f t="shared" ca="1" si="16"/>
        <v>Dr. James Carter</v>
      </c>
      <c r="D148" t="str">
        <f t="shared" ca="1" si="17"/>
        <v>Cardiology</v>
      </c>
      <c r="E148" s="1">
        <f t="shared" ca="1" si="18"/>
        <v>46103</v>
      </c>
      <c r="F148" t="str">
        <f t="shared" ca="1" si="19"/>
        <v>Completed</v>
      </c>
      <c r="G148">
        <f t="shared" ca="1" si="20"/>
        <v>87</v>
      </c>
    </row>
    <row r="149" spans="1:7" x14ac:dyDescent="0.25">
      <c r="A149" t="str">
        <f t="shared" si="14"/>
        <v>A148</v>
      </c>
      <c r="B149" t="str">
        <f t="shared" ca="1" si="15"/>
        <v>P005</v>
      </c>
      <c r="C149" t="str">
        <f t="shared" ca="1" si="16"/>
        <v>Dr. Sarah Kim</v>
      </c>
      <c r="D149" t="str">
        <f t="shared" ca="1" si="17"/>
        <v>Oncology</v>
      </c>
      <c r="E149" s="1">
        <f t="shared" ca="1" si="18"/>
        <v>46098</v>
      </c>
      <c r="F149" t="str">
        <f t="shared" ca="1" si="19"/>
        <v>Cancelled</v>
      </c>
      <c r="G149">
        <f t="shared" ca="1" si="20"/>
        <v>203</v>
      </c>
    </row>
    <row r="150" spans="1:7" x14ac:dyDescent="0.25">
      <c r="A150" t="str">
        <f t="shared" si="14"/>
        <v>A149</v>
      </c>
      <c r="B150" t="str">
        <f t="shared" ca="1" si="15"/>
        <v>P093</v>
      </c>
      <c r="C150" t="str">
        <f t="shared" ca="1" si="16"/>
        <v>Dr. James Carter</v>
      </c>
      <c r="D150" t="str">
        <f t="shared" ca="1" si="17"/>
        <v>Neurology</v>
      </c>
      <c r="E150" s="1">
        <f t="shared" ca="1" si="18"/>
        <v>46102</v>
      </c>
      <c r="F150" t="str">
        <f t="shared" ca="1" si="19"/>
        <v>No-Show</v>
      </c>
      <c r="G150">
        <f t="shared" ca="1" si="20"/>
        <v>149</v>
      </c>
    </row>
    <row r="151" spans="1:7" x14ac:dyDescent="0.25">
      <c r="A151" t="str">
        <f t="shared" si="14"/>
        <v>A150</v>
      </c>
      <c r="B151" t="str">
        <f t="shared" ca="1" si="15"/>
        <v>P068</v>
      </c>
      <c r="C151" t="str">
        <f t="shared" ca="1" si="16"/>
        <v>Dr. Emily Watson</v>
      </c>
      <c r="D151" t="str">
        <f t="shared" ca="1" si="17"/>
        <v>Neurology</v>
      </c>
      <c r="E151" s="1">
        <f t="shared" ca="1" si="18"/>
        <v>46090</v>
      </c>
      <c r="F151" t="str">
        <f t="shared" ca="1" si="19"/>
        <v>No-Show</v>
      </c>
      <c r="G151">
        <f t="shared" ca="1" si="20"/>
        <v>92</v>
      </c>
    </row>
    <row r="152" spans="1:7" x14ac:dyDescent="0.25">
      <c r="A152" t="str">
        <f t="shared" si="14"/>
        <v>A151</v>
      </c>
      <c r="B152" t="str">
        <f t="shared" ca="1" si="15"/>
        <v>P054</v>
      </c>
      <c r="C152" t="str">
        <f t="shared" ca="1" si="16"/>
        <v>Dr. James Carter</v>
      </c>
      <c r="D152" t="str">
        <f t="shared" ca="1" si="17"/>
        <v>Psychiatry and Mental Health</v>
      </c>
      <c r="E152" s="1">
        <f t="shared" ca="1" si="18"/>
        <v>46103</v>
      </c>
      <c r="F152" t="str">
        <f t="shared" ca="1" si="19"/>
        <v>No-Show</v>
      </c>
      <c r="G152">
        <f t="shared" ca="1" si="20"/>
        <v>92</v>
      </c>
    </row>
    <row r="153" spans="1:7" x14ac:dyDescent="0.25">
      <c r="A153" t="str">
        <f t="shared" si="14"/>
        <v>A152</v>
      </c>
      <c r="B153" t="str">
        <f t="shared" ca="1" si="15"/>
        <v>P080</v>
      </c>
      <c r="C153" t="str">
        <f t="shared" ca="1" si="16"/>
        <v>Dr. James Carter</v>
      </c>
      <c r="D153" t="str">
        <f t="shared" ca="1" si="17"/>
        <v>Cardiology</v>
      </c>
      <c r="E153" s="1">
        <f t="shared" ca="1" si="18"/>
        <v>46087</v>
      </c>
      <c r="F153" t="str">
        <f t="shared" ca="1" si="19"/>
        <v>Cancelled</v>
      </c>
      <c r="G153">
        <f t="shared" ca="1" si="20"/>
        <v>175</v>
      </c>
    </row>
    <row r="154" spans="1:7" x14ac:dyDescent="0.25">
      <c r="A154" t="str">
        <f t="shared" si="14"/>
        <v>A153</v>
      </c>
      <c r="B154" t="str">
        <f t="shared" ca="1" si="15"/>
        <v>P051</v>
      </c>
      <c r="C154" t="str">
        <f t="shared" ca="1" si="16"/>
        <v>Dr. Sarah Kim</v>
      </c>
      <c r="D154" t="str">
        <f t="shared" ca="1" si="17"/>
        <v>Neurology</v>
      </c>
      <c r="E154" s="1">
        <f t="shared" ca="1" si="18"/>
        <v>46105</v>
      </c>
      <c r="F154" t="str">
        <f t="shared" ca="1" si="19"/>
        <v>Completed</v>
      </c>
      <c r="G154">
        <f t="shared" ca="1" si="20"/>
        <v>237</v>
      </c>
    </row>
    <row r="155" spans="1:7" x14ac:dyDescent="0.25">
      <c r="A155" t="str">
        <f t="shared" si="14"/>
        <v>A154</v>
      </c>
      <c r="B155" t="str">
        <f t="shared" ca="1" si="15"/>
        <v>P078</v>
      </c>
      <c r="C155" t="str">
        <f t="shared" ca="1" si="16"/>
        <v>Dr. Sarah Kim</v>
      </c>
      <c r="D155" t="str">
        <f t="shared" ca="1" si="17"/>
        <v>Cardiology</v>
      </c>
      <c r="E155" s="1">
        <f t="shared" ca="1" si="18"/>
        <v>46100</v>
      </c>
      <c r="F155" t="str">
        <f t="shared" ca="1" si="19"/>
        <v>Completed</v>
      </c>
      <c r="G155">
        <f t="shared" ca="1" si="20"/>
        <v>256</v>
      </c>
    </row>
    <row r="156" spans="1:7" x14ac:dyDescent="0.25">
      <c r="A156" t="str">
        <f t="shared" si="14"/>
        <v>A155</v>
      </c>
      <c r="B156" t="str">
        <f t="shared" ca="1" si="15"/>
        <v>P008</v>
      </c>
      <c r="C156" t="str">
        <f t="shared" ca="1" si="16"/>
        <v>Dr. Emily Watson</v>
      </c>
      <c r="D156" t="str">
        <f t="shared" ca="1" si="17"/>
        <v>Oncology</v>
      </c>
      <c r="E156" s="1">
        <f t="shared" ca="1" si="18"/>
        <v>46090</v>
      </c>
      <c r="F156" t="str">
        <f t="shared" ca="1" si="19"/>
        <v>Completed</v>
      </c>
      <c r="G156">
        <f t="shared" ca="1" si="20"/>
        <v>283</v>
      </c>
    </row>
    <row r="157" spans="1:7" x14ac:dyDescent="0.25">
      <c r="A157" t="str">
        <f t="shared" si="14"/>
        <v>A156</v>
      </c>
      <c r="B157" t="str">
        <f t="shared" ca="1" si="15"/>
        <v>P092</v>
      </c>
      <c r="C157" t="str">
        <f t="shared" ca="1" si="16"/>
        <v>Dr. Michael Lee</v>
      </c>
      <c r="D157" t="str">
        <f t="shared" ca="1" si="17"/>
        <v>Oncology</v>
      </c>
      <c r="E157" s="1">
        <f t="shared" ca="1" si="18"/>
        <v>46104</v>
      </c>
      <c r="F157" t="str">
        <f t="shared" ca="1" si="19"/>
        <v>Cancelled</v>
      </c>
      <c r="G157">
        <f t="shared" ca="1" si="20"/>
        <v>280</v>
      </c>
    </row>
    <row r="158" spans="1:7" x14ac:dyDescent="0.25">
      <c r="A158" t="str">
        <f t="shared" si="14"/>
        <v>A157</v>
      </c>
      <c r="B158" t="str">
        <f t="shared" ca="1" si="15"/>
        <v>P042</v>
      </c>
      <c r="C158" t="str">
        <f t="shared" ca="1" si="16"/>
        <v>Dr. Michael Lee</v>
      </c>
      <c r="D158" t="str">
        <f t="shared" ca="1" si="17"/>
        <v>Cardiology</v>
      </c>
      <c r="E158" s="1">
        <f t="shared" ca="1" si="18"/>
        <v>46109</v>
      </c>
      <c r="F158" t="str">
        <f t="shared" ca="1" si="19"/>
        <v>No-Show</v>
      </c>
      <c r="G158">
        <f t="shared" ca="1" si="20"/>
        <v>293</v>
      </c>
    </row>
    <row r="159" spans="1:7" x14ac:dyDescent="0.25">
      <c r="A159" t="str">
        <f t="shared" si="14"/>
        <v>A158</v>
      </c>
      <c r="B159" t="str">
        <f t="shared" ca="1" si="15"/>
        <v>P058</v>
      </c>
      <c r="C159" t="str">
        <f t="shared" ca="1" si="16"/>
        <v>Dr. David Park</v>
      </c>
      <c r="D159" t="str">
        <f t="shared" ca="1" si="17"/>
        <v>Physical Medicine and Rehabilitation</v>
      </c>
      <c r="E159" s="1">
        <f t="shared" ca="1" si="18"/>
        <v>46089</v>
      </c>
      <c r="F159" t="str">
        <f t="shared" ca="1" si="19"/>
        <v>No-Show</v>
      </c>
      <c r="G159">
        <f t="shared" ca="1" si="20"/>
        <v>259</v>
      </c>
    </row>
    <row r="160" spans="1:7" x14ac:dyDescent="0.25">
      <c r="A160" t="str">
        <f t="shared" si="14"/>
        <v>A159</v>
      </c>
      <c r="B160" t="str">
        <f t="shared" ca="1" si="15"/>
        <v>P041</v>
      </c>
      <c r="C160" t="str">
        <f t="shared" ca="1" si="16"/>
        <v>Dr. David Park</v>
      </c>
      <c r="D160" t="str">
        <f t="shared" ca="1" si="17"/>
        <v>Psychiatry and Mental Health</v>
      </c>
      <c r="E160" s="1">
        <f t="shared" ca="1" si="18"/>
        <v>46106</v>
      </c>
      <c r="F160" t="str">
        <f t="shared" ca="1" si="19"/>
        <v>No-Show</v>
      </c>
      <c r="G160">
        <f t="shared" ca="1" si="20"/>
        <v>259</v>
      </c>
    </row>
    <row r="161" spans="1:7" x14ac:dyDescent="0.25">
      <c r="A161" t="str">
        <f t="shared" si="14"/>
        <v>A160</v>
      </c>
      <c r="B161" t="str">
        <f t="shared" ca="1" si="15"/>
        <v>P038</v>
      </c>
      <c r="C161" t="str">
        <f t="shared" ca="1" si="16"/>
        <v>Dr. Michael Lee</v>
      </c>
      <c r="D161" t="str">
        <f t="shared" ca="1" si="17"/>
        <v>Cardiology</v>
      </c>
      <c r="E161" s="1">
        <f t="shared" ca="1" si="18"/>
        <v>46107</v>
      </c>
      <c r="F161" t="str">
        <f t="shared" ca="1" si="19"/>
        <v>Completed</v>
      </c>
      <c r="G161">
        <f t="shared" ca="1" si="20"/>
        <v>122</v>
      </c>
    </row>
    <row r="162" spans="1:7" x14ac:dyDescent="0.25">
      <c r="A162" t="str">
        <f t="shared" si="14"/>
        <v>A161</v>
      </c>
      <c r="B162" t="str">
        <f t="shared" ca="1" si="15"/>
        <v>P093</v>
      </c>
      <c r="C162" t="str">
        <f t="shared" ca="1" si="16"/>
        <v>Dr. David Park</v>
      </c>
      <c r="D162" t="str">
        <f t="shared" ca="1" si="17"/>
        <v>Physical Medicine and Rehabilitation</v>
      </c>
      <c r="E162" s="1">
        <f t="shared" ca="1" si="18"/>
        <v>46099</v>
      </c>
      <c r="F162" t="str">
        <f t="shared" ca="1" si="19"/>
        <v>Cancelled</v>
      </c>
      <c r="G162">
        <f t="shared" ca="1" si="20"/>
        <v>71</v>
      </c>
    </row>
    <row r="163" spans="1:7" x14ac:dyDescent="0.25">
      <c r="A163" t="str">
        <f t="shared" si="14"/>
        <v>A162</v>
      </c>
      <c r="B163" t="str">
        <f t="shared" ca="1" si="15"/>
        <v>P065</v>
      </c>
      <c r="C163" t="str">
        <f t="shared" ca="1" si="16"/>
        <v>Dr. James Carter</v>
      </c>
      <c r="D163" t="str">
        <f t="shared" ca="1" si="17"/>
        <v>Physical Medicine and Rehabilitation</v>
      </c>
      <c r="E163" s="1">
        <f t="shared" ca="1" si="18"/>
        <v>46106</v>
      </c>
      <c r="F163" t="str">
        <f t="shared" ca="1" si="19"/>
        <v>Cancelled</v>
      </c>
      <c r="G163">
        <f t="shared" ca="1" si="20"/>
        <v>248</v>
      </c>
    </row>
    <row r="164" spans="1:7" x14ac:dyDescent="0.25">
      <c r="A164" t="str">
        <f t="shared" si="14"/>
        <v>A163</v>
      </c>
      <c r="B164" t="str">
        <f t="shared" ca="1" si="15"/>
        <v>P050</v>
      </c>
      <c r="C164" t="str">
        <f t="shared" ca="1" si="16"/>
        <v>Dr. Sarah Kim</v>
      </c>
      <c r="D164" t="str">
        <f t="shared" ca="1" si="17"/>
        <v>Emergency Medicine</v>
      </c>
      <c r="E164" s="1">
        <f t="shared" ca="1" si="18"/>
        <v>46104</v>
      </c>
      <c r="F164" t="str">
        <f t="shared" ca="1" si="19"/>
        <v>No-Show</v>
      </c>
      <c r="G164">
        <f t="shared" ca="1" si="20"/>
        <v>130</v>
      </c>
    </row>
    <row r="165" spans="1:7" x14ac:dyDescent="0.25">
      <c r="A165" t="str">
        <f t="shared" si="14"/>
        <v>A164</v>
      </c>
      <c r="B165" t="str">
        <f t="shared" ca="1" si="15"/>
        <v>P098</v>
      </c>
      <c r="C165" t="str">
        <f t="shared" ca="1" si="16"/>
        <v>Dr. James Carter</v>
      </c>
      <c r="D165" t="str">
        <f t="shared" ca="1" si="17"/>
        <v>Cardiology</v>
      </c>
      <c r="E165" s="1">
        <f t="shared" ca="1" si="18"/>
        <v>46105</v>
      </c>
      <c r="F165" t="str">
        <f t="shared" ca="1" si="19"/>
        <v>Cancelled</v>
      </c>
      <c r="G165">
        <f t="shared" ca="1" si="20"/>
        <v>204</v>
      </c>
    </row>
    <row r="166" spans="1:7" x14ac:dyDescent="0.25">
      <c r="A166" t="str">
        <f t="shared" si="14"/>
        <v>A165</v>
      </c>
      <c r="B166" t="str">
        <f t="shared" ca="1" si="15"/>
        <v>P018</v>
      </c>
      <c r="C166" t="str">
        <f t="shared" ca="1" si="16"/>
        <v>Dr. Michael Lee</v>
      </c>
      <c r="D166" t="str">
        <f t="shared" ca="1" si="17"/>
        <v>Psychiatry and Mental Health</v>
      </c>
      <c r="E166" s="1">
        <f t="shared" ca="1" si="18"/>
        <v>46082</v>
      </c>
      <c r="F166" t="str">
        <f t="shared" ca="1" si="19"/>
        <v>Cancelled</v>
      </c>
      <c r="G166">
        <f t="shared" ca="1" si="20"/>
        <v>284</v>
      </c>
    </row>
    <row r="167" spans="1:7" x14ac:dyDescent="0.25">
      <c r="A167" t="str">
        <f t="shared" si="14"/>
        <v>A166</v>
      </c>
      <c r="B167" t="str">
        <f t="shared" ca="1" si="15"/>
        <v>P002</v>
      </c>
      <c r="C167" t="str">
        <f t="shared" ca="1" si="16"/>
        <v>Dr. Michael Lee</v>
      </c>
      <c r="D167" t="str">
        <f t="shared" ca="1" si="17"/>
        <v>Psychiatry and Mental Health</v>
      </c>
      <c r="E167" s="1">
        <f t="shared" ca="1" si="18"/>
        <v>46100</v>
      </c>
      <c r="F167" t="str">
        <f t="shared" ca="1" si="19"/>
        <v>Cancelled</v>
      </c>
      <c r="G167">
        <f t="shared" ca="1" si="20"/>
        <v>284</v>
      </c>
    </row>
    <row r="168" spans="1:7" x14ac:dyDescent="0.25">
      <c r="A168" t="str">
        <f t="shared" si="14"/>
        <v>A167</v>
      </c>
      <c r="B168" t="str">
        <f t="shared" ca="1" si="15"/>
        <v>P028</v>
      </c>
      <c r="C168" t="str">
        <f t="shared" ca="1" si="16"/>
        <v>Dr. David Park</v>
      </c>
      <c r="D168" t="str">
        <f t="shared" ca="1" si="17"/>
        <v>Physical Medicine and Rehabilitation</v>
      </c>
      <c r="E168" s="1">
        <f t="shared" ca="1" si="18"/>
        <v>46108</v>
      </c>
      <c r="F168" t="str">
        <f t="shared" ca="1" si="19"/>
        <v>No-Show</v>
      </c>
      <c r="G168">
        <f t="shared" ca="1" si="20"/>
        <v>244</v>
      </c>
    </row>
    <row r="169" spans="1:7" x14ac:dyDescent="0.25">
      <c r="A169" t="str">
        <f t="shared" si="14"/>
        <v>A168</v>
      </c>
      <c r="B169" t="str">
        <f t="shared" ca="1" si="15"/>
        <v>P086</v>
      </c>
      <c r="C169" t="str">
        <f t="shared" ca="1" si="16"/>
        <v>Dr. Emily Watson</v>
      </c>
      <c r="D169" t="str">
        <f t="shared" ca="1" si="17"/>
        <v>Dermatology</v>
      </c>
      <c r="E169" s="1">
        <f t="shared" ca="1" si="18"/>
        <v>46110</v>
      </c>
      <c r="F169" t="str">
        <f t="shared" ca="1" si="19"/>
        <v>No-Show</v>
      </c>
      <c r="G169">
        <f t="shared" ca="1" si="20"/>
        <v>193</v>
      </c>
    </row>
    <row r="170" spans="1:7" x14ac:dyDescent="0.25">
      <c r="A170" t="str">
        <f t="shared" si="14"/>
        <v>A169</v>
      </c>
      <c r="B170" t="str">
        <f t="shared" ca="1" si="15"/>
        <v>P024</v>
      </c>
      <c r="C170" t="str">
        <f t="shared" ca="1" si="16"/>
        <v>Dr. Emily Watson</v>
      </c>
      <c r="D170" t="str">
        <f t="shared" ca="1" si="17"/>
        <v>Pharmacy</v>
      </c>
      <c r="E170" s="1">
        <f t="shared" ca="1" si="18"/>
        <v>46091</v>
      </c>
      <c r="F170" t="str">
        <f t="shared" ca="1" si="19"/>
        <v>Cancelled</v>
      </c>
      <c r="G170">
        <f t="shared" ca="1" si="20"/>
        <v>251</v>
      </c>
    </row>
    <row r="171" spans="1:7" x14ac:dyDescent="0.25">
      <c r="A171" t="str">
        <f t="shared" si="14"/>
        <v>A170</v>
      </c>
      <c r="B171" t="str">
        <f t="shared" ca="1" si="15"/>
        <v>P092</v>
      </c>
      <c r="C171" t="str">
        <f t="shared" ca="1" si="16"/>
        <v>Dr. Sarah Kim</v>
      </c>
      <c r="D171" t="str">
        <f t="shared" ca="1" si="17"/>
        <v>Oncology</v>
      </c>
      <c r="E171" s="1">
        <f t="shared" ca="1" si="18"/>
        <v>46097</v>
      </c>
      <c r="F171" t="str">
        <f t="shared" ca="1" si="19"/>
        <v>No-Show</v>
      </c>
      <c r="G171">
        <f t="shared" ca="1" si="20"/>
        <v>116</v>
      </c>
    </row>
    <row r="172" spans="1:7" x14ac:dyDescent="0.25">
      <c r="A172" t="str">
        <f t="shared" si="14"/>
        <v>A171</v>
      </c>
      <c r="B172" t="str">
        <f t="shared" ca="1" si="15"/>
        <v>P048</v>
      </c>
      <c r="C172" t="str">
        <f t="shared" ca="1" si="16"/>
        <v>Dr. David Park</v>
      </c>
      <c r="D172" t="str">
        <f t="shared" ca="1" si="17"/>
        <v>Orthopedics</v>
      </c>
      <c r="E172" s="1">
        <f t="shared" ca="1" si="18"/>
        <v>46087</v>
      </c>
      <c r="F172" t="str">
        <f t="shared" ca="1" si="19"/>
        <v>No-Show</v>
      </c>
      <c r="G172">
        <f t="shared" ca="1" si="20"/>
        <v>156</v>
      </c>
    </row>
    <row r="173" spans="1:7" x14ac:dyDescent="0.25">
      <c r="A173" t="str">
        <f t="shared" si="14"/>
        <v>A172</v>
      </c>
      <c r="B173" t="str">
        <f t="shared" ca="1" si="15"/>
        <v>P018</v>
      </c>
      <c r="C173" t="str">
        <f t="shared" ca="1" si="16"/>
        <v>Dr. David Park</v>
      </c>
      <c r="D173" t="str">
        <f t="shared" ca="1" si="17"/>
        <v>Emergency Medicine</v>
      </c>
      <c r="E173" s="1">
        <f t="shared" ca="1" si="18"/>
        <v>46087</v>
      </c>
      <c r="F173" t="str">
        <f t="shared" ca="1" si="19"/>
        <v>Cancelled</v>
      </c>
      <c r="G173">
        <f t="shared" ca="1" si="20"/>
        <v>135</v>
      </c>
    </row>
    <row r="174" spans="1:7" x14ac:dyDescent="0.25">
      <c r="A174" t="str">
        <f t="shared" si="14"/>
        <v>A173</v>
      </c>
      <c r="B174" t="str">
        <f t="shared" ca="1" si="15"/>
        <v>P009</v>
      </c>
      <c r="C174" t="str">
        <f t="shared" ca="1" si="16"/>
        <v>Dr. James Carter</v>
      </c>
      <c r="D174" t="str">
        <f t="shared" ca="1" si="17"/>
        <v>Psychiatry and Mental Health</v>
      </c>
      <c r="E174" s="1">
        <f t="shared" ca="1" si="18"/>
        <v>46105</v>
      </c>
      <c r="F174" t="str">
        <f t="shared" ca="1" si="19"/>
        <v>Cancelled</v>
      </c>
      <c r="G174">
        <f t="shared" ca="1" si="20"/>
        <v>223</v>
      </c>
    </row>
    <row r="175" spans="1:7" x14ac:dyDescent="0.25">
      <c r="A175" t="str">
        <f t="shared" si="14"/>
        <v>A174</v>
      </c>
      <c r="B175" t="str">
        <f t="shared" ca="1" si="15"/>
        <v>P084</v>
      </c>
      <c r="C175" t="str">
        <f t="shared" ca="1" si="16"/>
        <v>Dr. Michael Lee</v>
      </c>
      <c r="D175" t="str">
        <f t="shared" ca="1" si="17"/>
        <v>Neurology</v>
      </c>
      <c r="E175" s="1">
        <f t="shared" ca="1" si="18"/>
        <v>46099</v>
      </c>
      <c r="F175" t="str">
        <f t="shared" ca="1" si="19"/>
        <v>Cancelled</v>
      </c>
      <c r="G175">
        <f t="shared" ca="1" si="20"/>
        <v>226</v>
      </c>
    </row>
    <row r="176" spans="1:7" x14ac:dyDescent="0.25">
      <c r="A176" t="str">
        <f t="shared" si="14"/>
        <v>A175</v>
      </c>
      <c r="B176" t="str">
        <f t="shared" ca="1" si="15"/>
        <v>P013</v>
      </c>
      <c r="C176" t="str">
        <f t="shared" ca="1" si="16"/>
        <v>Dr. Sarah Kim</v>
      </c>
      <c r="D176" t="str">
        <f t="shared" ca="1" si="17"/>
        <v>Psychiatry and Mental Health</v>
      </c>
      <c r="E176" s="1">
        <f t="shared" ca="1" si="18"/>
        <v>46105</v>
      </c>
      <c r="F176" t="str">
        <f t="shared" ca="1" si="19"/>
        <v>No-Show</v>
      </c>
      <c r="G176">
        <f t="shared" ca="1" si="20"/>
        <v>277</v>
      </c>
    </row>
    <row r="177" spans="1:7" x14ac:dyDescent="0.25">
      <c r="A177" t="str">
        <f t="shared" si="14"/>
        <v>A176</v>
      </c>
      <c r="B177" t="str">
        <f t="shared" ca="1" si="15"/>
        <v>P075</v>
      </c>
      <c r="C177" t="str">
        <f t="shared" ca="1" si="16"/>
        <v>Dr. Sarah Kim</v>
      </c>
      <c r="D177" t="str">
        <f t="shared" ca="1" si="17"/>
        <v>Orthopedics</v>
      </c>
      <c r="E177" s="1">
        <f t="shared" ca="1" si="18"/>
        <v>46084</v>
      </c>
      <c r="F177" t="str">
        <f t="shared" ca="1" si="19"/>
        <v>No-Show</v>
      </c>
      <c r="G177">
        <f t="shared" ca="1" si="20"/>
        <v>216</v>
      </c>
    </row>
    <row r="178" spans="1:7" x14ac:dyDescent="0.25">
      <c r="A178" t="str">
        <f t="shared" si="14"/>
        <v>A177</v>
      </c>
      <c r="B178" t="str">
        <f t="shared" ca="1" si="15"/>
        <v>P085</v>
      </c>
      <c r="C178" t="str">
        <f t="shared" ca="1" si="16"/>
        <v>Dr. Sarah Kim</v>
      </c>
      <c r="D178" t="str">
        <f t="shared" ca="1" si="17"/>
        <v>Pharmacy</v>
      </c>
      <c r="E178" s="1">
        <f t="shared" ca="1" si="18"/>
        <v>46088</v>
      </c>
      <c r="F178" t="str">
        <f t="shared" ca="1" si="19"/>
        <v>Completed</v>
      </c>
      <c r="G178">
        <f t="shared" ca="1" si="20"/>
        <v>298</v>
      </c>
    </row>
    <row r="179" spans="1:7" x14ac:dyDescent="0.25">
      <c r="A179" t="str">
        <f t="shared" si="14"/>
        <v>A178</v>
      </c>
      <c r="B179" t="str">
        <f t="shared" ca="1" si="15"/>
        <v>P089</v>
      </c>
      <c r="C179" t="str">
        <f t="shared" ca="1" si="16"/>
        <v>Dr. Michael Lee</v>
      </c>
      <c r="D179" t="str">
        <f t="shared" ca="1" si="17"/>
        <v>Pharmacy</v>
      </c>
      <c r="E179" s="1">
        <f t="shared" ca="1" si="18"/>
        <v>46094</v>
      </c>
      <c r="F179" t="str">
        <f t="shared" ca="1" si="19"/>
        <v>Completed</v>
      </c>
      <c r="G179">
        <f t="shared" ca="1" si="20"/>
        <v>225</v>
      </c>
    </row>
    <row r="180" spans="1:7" x14ac:dyDescent="0.25">
      <c r="A180" t="str">
        <f t="shared" si="14"/>
        <v>A179</v>
      </c>
      <c r="B180" t="str">
        <f t="shared" ca="1" si="15"/>
        <v>P044</v>
      </c>
      <c r="C180" t="str">
        <f t="shared" ca="1" si="16"/>
        <v>Dr. Sarah Kim</v>
      </c>
      <c r="D180" t="str">
        <f t="shared" ca="1" si="17"/>
        <v>Physical Medicine and Rehabilitation</v>
      </c>
      <c r="E180" s="1">
        <f t="shared" ca="1" si="18"/>
        <v>46109</v>
      </c>
      <c r="F180" t="str">
        <f t="shared" ca="1" si="19"/>
        <v>Completed</v>
      </c>
      <c r="G180">
        <f t="shared" ca="1" si="20"/>
        <v>57</v>
      </c>
    </row>
    <row r="181" spans="1:7" x14ac:dyDescent="0.25">
      <c r="A181" t="str">
        <f t="shared" si="14"/>
        <v>A180</v>
      </c>
      <c r="B181" t="str">
        <f t="shared" ca="1" si="15"/>
        <v>P051</v>
      </c>
      <c r="C181" t="str">
        <f t="shared" ca="1" si="16"/>
        <v>Dr. Sarah Kim</v>
      </c>
      <c r="D181" t="str">
        <f t="shared" ca="1" si="17"/>
        <v>Emergency Medicine</v>
      </c>
      <c r="E181" s="1">
        <f t="shared" ca="1" si="18"/>
        <v>46107</v>
      </c>
      <c r="F181" t="str">
        <f t="shared" ca="1" si="19"/>
        <v>Cancelled</v>
      </c>
      <c r="G181">
        <f t="shared" ca="1" si="20"/>
        <v>226</v>
      </c>
    </row>
    <row r="182" spans="1:7" x14ac:dyDescent="0.25">
      <c r="A182" t="str">
        <f t="shared" si="14"/>
        <v>A181</v>
      </c>
      <c r="B182" t="str">
        <f t="shared" ca="1" si="15"/>
        <v>P076</v>
      </c>
      <c r="C182" t="str">
        <f t="shared" ca="1" si="16"/>
        <v>Dr. Emily Watson</v>
      </c>
      <c r="D182" t="str">
        <f t="shared" ca="1" si="17"/>
        <v>Neurology</v>
      </c>
      <c r="E182" s="1">
        <f t="shared" ca="1" si="18"/>
        <v>46092</v>
      </c>
      <c r="F182" t="str">
        <f t="shared" ca="1" si="19"/>
        <v>Completed</v>
      </c>
      <c r="G182">
        <f t="shared" ca="1" si="20"/>
        <v>188</v>
      </c>
    </row>
    <row r="183" spans="1:7" x14ac:dyDescent="0.25">
      <c r="A183" t="str">
        <f t="shared" si="14"/>
        <v>A182</v>
      </c>
      <c r="B183" t="str">
        <f t="shared" ca="1" si="15"/>
        <v>P024</v>
      </c>
      <c r="C183" t="str">
        <f t="shared" ca="1" si="16"/>
        <v>Dr. James Carter</v>
      </c>
      <c r="D183" t="str">
        <f t="shared" ca="1" si="17"/>
        <v>Emergency Medicine</v>
      </c>
      <c r="E183" s="1">
        <f t="shared" ca="1" si="18"/>
        <v>46087</v>
      </c>
      <c r="F183" t="str">
        <f t="shared" ca="1" si="19"/>
        <v>Cancelled</v>
      </c>
      <c r="G183">
        <f t="shared" ca="1" si="20"/>
        <v>184</v>
      </c>
    </row>
    <row r="184" spans="1:7" x14ac:dyDescent="0.25">
      <c r="A184" t="str">
        <f t="shared" si="14"/>
        <v>A183</v>
      </c>
      <c r="B184" t="str">
        <f t="shared" ca="1" si="15"/>
        <v>P016</v>
      </c>
      <c r="C184" t="str">
        <f t="shared" ca="1" si="16"/>
        <v>Dr. Michael Lee</v>
      </c>
      <c r="D184" t="str">
        <f t="shared" ca="1" si="17"/>
        <v>Orthopedics</v>
      </c>
      <c r="E184" s="1">
        <f t="shared" ca="1" si="18"/>
        <v>46084</v>
      </c>
      <c r="F184" t="str">
        <f t="shared" ca="1" si="19"/>
        <v>Completed</v>
      </c>
      <c r="G184">
        <f t="shared" ca="1" si="20"/>
        <v>294</v>
      </c>
    </row>
    <row r="185" spans="1:7" x14ac:dyDescent="0.25">
      <c r="A185" t="str">
        <f t="shared" si="14"/>
        <v>A184</v>
      </c>
      <c r="B185" t="str">
        <f t="shared" ca="1" si="15"/>
        <v>P094</v>
      </c>
      <c r="C185" t="str">
        <f t="shared" ca="1" si="16"/>
        <v>Dr. Michael Lee</v>
      </c>
      <c r="D185" t="str">
        <f t="shared" ca="1" si="17"/>
        <v>Emergency Medicine</v>
      </c>
      <c r="E185" s="1">
        <f t="shared" ca="1" si="18"/>
        <v>46091</v>
      </c>
      <c r="F185" t="str">
        <f t="shared" ca="1" si="19"/>
        <v>Completed</v>
      </c>
      <c r="G185">
        <f t="shared" ca="1" si="20"/>
        <v>122</v>
      </c>
    </row>
    <row r="186" spans="1:7" x14ac:dyDescent="0.25">
      <c r="A186" t="str">
        <f t="shared" si="14"/>
        <v>A185</v>
      </c>
      <c r="B186" t="str">
        <f t="shared" ca="1" si="15"/>
        <v>P052</v>
      </c>
      <c r="C186" t="str">
        <f t="shared" ca="1" si="16"/>
        <v>Dr. Emily Watson</v>
      </c>
      <c r="D186" t="str">
        <f t="shared" ca="1" si="17"/>
        <v>Neurology</v>
      </c>
      <c r="E186" s="1">
        <f t="shared" ca="1" si="18"/>
        <v>46092</v>
      </c>
      <c r="F186" t="str">
        <f t="shared" ca="1" si="19"/>
        <v>Completed</v>
      </c>
      <c r="G186">
        <f t="shared" ca="1" si="20"/>
        <v>110</v>
      </c>
    </row>
    <row r="187" spans="1:7" x14ac:dyDescent="0.25">
      <c r="A187" t="str">
        <f t="shared" si="14"/>
        <v>A186</v>
      </c>
      <c r="B187" t="str">
        <f t="shared" ca="1" si="15"/>
        <v>P028</v>
      </c>
      <c r="C187" t="str">
        <f t="shared" ca="1" si="16"/>
        <v>Dr. James Carter</v>
      </c>
      <c r="D187" t="str">
        <f t="shared" ca="1" si="17"/>
        <v>Dermatology</v>
      </c>
      <c r="E187" s="1">
        <f t="shared" ca="1" si="18"/>
        <v>46099</v>
      </c>
      <c r="F187" t="str">
        <f t="shared" ca="1" si="19"/>
        <v>No-Show</v>
      </c>
      <c r="G187">
        <f t="shared" ca="1" si="20"/>
        <v>186</v>
      </c>
    </row>
    <row r="188" spans="1:7" x14ac:dyDescent="0.25">
      <c r="A188" t="str">
        <f t="shared" si="14"/>
        <v>A187</v>
      </c>
      <c r="B188" t="str">
        <f t="shared" ca="1" si="15"/>
        <v>P087</v>
      </c>
      <c r="C188" t="str">
        <f t="shared" ca="1" si="16"/>
        <v>Dr. Sarah Kim</v>
      </c>
      <c r="D188" t="str">
        <f t="shared" ca="1" si="17"/>
        <v>Pharmacy</v>
      </c>
      <c r="E188" s="1">
        <f t="shared" ca="1" si="18"/>
        <v>46105</v>
      </c>
      <c r="F188" t="str">
        <f t="shared" ca="1" si="19"/>
        <v>No-Show</v>
      </c>
      <c r="G188">
        <f t="shared" ca="1" si="20"/>
        <v>151</v>
      </c>
    </row>
    <row r="189" spans="1:7" x14ac:dyDescent="0.25">
      <c r="A189" t="str">
        <f t="shared" si="14"/>
        <v>A188</v>
      </c>
      <c r="B189" t="str">
        <f t="shared" ca="1" si="15"/>
        <v>P062</v>
      </c>
      <c r="C189" t="str">
        <f t="shared" ca="1" si="16"/>
        <v>Dr. Michael Lee</v>
      </c>
      <c r="D189" t="str">
        <f t="shared" ca="1" si="17"/>
        <v>Cardiology</v>
      </c>
      <c r="E189" s="1">
        <f t="shared" ca="1" si="18"/>
        <v>46092</v>
      </c>
      <c r="F189" t="str">
        <f t="shared" ca="1" si="19"/>
        <v>No-Show</v>
      </c>
      <c r="G189">
        <f t="shared" ca="1" si="20"/>
        <v>253</v>
      </c>
    </row>
    <row r="190" spans="1:7" x14ac:dyDescent="0.25">
      <c r="A190" t="str">
        <f t="shared" si="14"/>
        <v>A189</v>
      </c>
      <c r="B190" t="str">
        <f t="shared" ca="1" si="15"/>
        <v>P001</v>
      </c>
      <c r="C190" t="str">
        <f t="shared" ca="1" si="16"/>
        <v>Dr. James Carter</v>
      </c>
      <c r="D190" t="str">
        <f t="shared" ca="1" si="17"/>
        <v>Cardiology</v>
      </c>
      <c r="E190" s="1">
        <f t="shared" ca="1" si="18"/>
        <v>46106</v>
      </c>
      <c r="F190" t="str">
        <f t="shared" ca="1" si="19"/>
        <v>Cancelled</v>
      </c>
      <c r="G190">
        <f t="shared" ca="1" si="20"/>
        <v>210</v>
      </c>
    </row>
    <row r="191" spans="1:7" x14ac:dyDescent="0.25">
      <c r="A191" t="str">
        <f t="shared" si="14"/>
        <v>A190</v>
      </c>
      <c r="B191" t="str">
        <f t="shared" ca="1" si="15"/>
        <v>P025</v>
      </c>
      <c r="C191" t="str">
        <f t="shared" ca="1" si="16"/>
        <v>Dr. Michael Lee</v>
      </c>
      <c r="D191" t="str">
        <f t="shared" ca="1" si="17"/>
        <v>Oncology</v>
      </c>
      <c r="E191" s="1">
        <f t="shared" ca="1" si="18"/>
        <v>46083</v>
      </c>
      <c r="F191" t="str">
        <f t="shared" ca="1" si="19"/>
        <v>Completed</v>
      </c>
      <c r="G191">
        <f t="shared" ca="1" si="20"/>
        <v>181</v>
      </c>
    </row>
    <row r="192" spans="1:7" x14ac:dyDescent="0.25">
      <c r="A192" t="str">
        <f t="shared" si="14"/>
        <v>A191</v>
      </c>
      <c r="B192" t="str">
        <f t="shared" ca="1" si="15"/>
        <v>P023</v>
      </c>
      <c r="C192" t="str">
        <f t="shared" ca="1" si="16"/>
        <v>Dr. James Carter</v>
      </c>
      <c r="D192" t="str">
        <f t="shared" ca="1" si="17"/>
        <v>General Medicine</v>
      </c>
      <c r="E192" s="1">
        <f t="shared" ca="1" si="18"/>
        <v>46092</v>
      </c>
      <c r="F192" t="str">
        <f t="shared" ca="1" si="19"/>
        <v>No-Show</v>
      </c>
      <c r="G192">
        <f t="shared" ca="1" si="20"/>
        <v>270</v>
      </c>
    </row>
    <row r="193" spans="1:7" x14ac:dyDescent="0.25">
      <c r="A193" t="str">
        <f t="shared" si="14"/>
        <v>A192</v>
      </c>
      <c r="B193" t="str">
        <f t="shared" ca="1" si="15"/>
        <v>P012</v>
      </c>
      <c r="C193" t="str">
        <f t="shared" ca="1" si="16"/>
        <v>Dr. Sarah Kim</v>
      </c>
      <c r="D193" t="str">
        <f t="shared" ca="1" si="17"/>
        <v>Cardiology</v>
      </c>
      <c r="E193" s="1">
        <f t="shared" ca="1" si="18"/>
        <v>46101</v>
      </c>
      <c r="F193" t="str">
        <f t="shared" ca="1" si="19"/>
        <v>Cancelled</v>
      </c>
      <c r="G193">
        <f t="shared" ca="1" si="20"/>
        <v>283</v>
      </c>
    </row>
    <row r="194" spans="1:7" x14ac:dyDescent="0.25">
      <c r="A194" t="str">
        <f t="shared" si="14"/>
        <v>A193</v>
      </c>
      <c r="B194" t="str">
        <f t="shared" ca="1" si="15"/>
        <v>P025</v>
      </c>
      <c r="C194" t="str">
        <f t="shared" ca="1" si="16"/>
        <v>Dr. Michael Lee</v>
      </c>
      <c r="D194" t="str">
        <f t="shared" ca="1" si="17"/>
        <v>Physical Medicine and Rehabilitation</v>
      </c>
      <c r="E194" s="1">
        <f t="shared" ca="1" si="18"/>
        <v>46087</v>
      </c>
      <c r="F194" t="str">
        <f t="shared" ca="1" si="19"/>
        <v>No-Show</v>
      </c>
      <c r="G194">
        <f t="shared" ca="1" si="20"/>
        <v>152</v>
      </c>
    </row>
    <row r="195" spans="1:7" x14ac:dyDescent="0.25">
      <c r="A195" t="str">
        <f t="shared" ref="A195:A258" si="21">"A"&amp;TEXT(ROW(A194),"000")</f>
        <v>A194</v>
      </c>
      <c r="B195" t="str">
        <f t="shared" ref="B195:B258" ca="1" si="22">"P"&amp;TEXT(RANDBETWEEN(1,100),"000")</f>
        <v>P098</v>
      </c>
      <c r="C195" t="str">
        <f t="shared" ref="C195:C258" ca="1" si="23">CHOOSE(RANDBETWEEN(1,5),"Dr. James Carter","Dr. Emily Watson","Dr. Michael Lee","Dr. Sarah Kim","Dr. David Park")</f>
        <v>Dr. Michael Lee</v>
      </c>
      <c r="D195" t="str">
        <f t="shared" ref="D195:D258" ca="1" si="24">CHOOSE(RANDBETWEEN(1,10),"Cardiology","Dermatology","Neurology","Orthopedics","General Medicine","Emergency Medicine","Oncology","Physical Medicine and Rehabilitation","Pharmacy","Psychiatry and Mental Health")</f>
        <v>Dermatology</v>
      </c>
      <c r="E195" s="1">
        <f t="shared" ref="E195:E258" ca="1" si="25">DATE(2026,3,RANDBETWEEN(1,30))</f>
        <v>46086</v>
      </c>
      <c r="F195" t="str">
        <f t="shared" ref="F195:F258" ca="1" si="26">CHOOSE(RANDBETWEEN(1,3),"Completed","No-Show","Cancelled")</f>
        <v>Cancelled</v>
      </c>
      <c r="G195">
        <f t="shared" ref="G195:G258" ca="1" si="27">RANDBETWEEN(50,300)</f>
        <v>270</v>
      </c>
    </row>
    <row r="196" spans="1:7" x14ac:dyDescent="0.25">
      <c r="A196" t="str">
        <f t="shared" si="21"/>
        <v>A195</v>
      </c>
      <c r="B196" t="str">
        <f t="shared" ca="1" si="22"/>
        <v>P008</v>
      </c>
      <c r="C196" t="str">
        <f t="shared" ca="1" si="23"/>
        <v>Dr. David Park</v>
      </c>
      <c r="D196" t="str">
        <f t="shared" ca="1" si="24"/>
        <v>Dermatology</v>
      </c>
      <c r="E196" s="1">
        <f t="shared" ca="1" si="25"/>
        <v>46103</v>
      </c>
      <c r="F196" t="str">
        <f t="shared" ca="1" si="26"/>
        <v>Cancelled</v>
      </c>
      <c r="G196">
        <f t="shared" ca="1" si="27"/>
        <v>182</v>
      </c>
    </row>
    <row r="197" spans="1:7" x14ac:dyDescent="0.25">
      <c r="A197" t="str">
        <f t="shared" si="21"/>
        <v>A196</v>
      </c>
      <c r="B197" t="str">
        <f t="shared" ca="1" si="22"/>
        <v>P028</v>
      </c>
      <c r="C197" t="str">
        <f t="shared" ca="1" si="23"/>
        <v>Dr. Emily Watson</v>
      </c>
      <c r="D197" t="str">
        <f t="shared" ca="1" si="24"/>
        <v>Psychiatry and Mental Health</v>
      </c>
      <c r="E197" s="1">
        <f t="shared" ca="1" si="25"/>
        <v>46093</v>
      </c>
      <c r="F197" t="str">
        <f t="shared" ca="1" si="26"/>
        <v>Completed</v>
      </c>
      <c r="G197">
        <f t="shared" ca="1" si="27"/>
        <v>67</v>
      </c>
    </row>
    <row r="198" spans="1:7" x14ac:dyDescent="0.25">
      <c r="A198" t="str">
        <f t="shared" si="21"/>
        <v>A197</v>
      </c>
      <c r="B198" t="str">
        <f t="shared" ca="1" si="22"/>
        <v>P058</v>
      </c>
      <c r="C198" t="str">
        <f t="shared" ca="1" si="23"/>
        <v>Dr. Emily Watson</v>
      </c>
      <c r="D198" t="str">
        <f t="shared" ca="1" si="24"/>
        <v>Oncology</v>
      </c>
      <c r="E198" s="1">
        <f t="shared" ca="1" si="25"/>
        <v>46088</v>
      </c>
      <c r="F198" t="str">
        <f t="shared" ca="1" si="26"/>
        <v>No-Show</v>
      </c>
      <c r="G198">
        <f t="shared" ca="1" si="27"/>
        <v>193</v>
      </c>
    </row>
    <row r="199" spans="1:7" x14ac:dyDescent="0.25">
      <c r="A199" t="str">
        <f t="shared" si="21"/>
        <v>A198</v>
      </c>
      <c r="B199" t="str">
        <f t="shared" ca="1" si="22"/>
        <v>P035</v>
      </c>
      <c r="C199" t="str">
        <f t="shared" ca="1" si="23"/>
        <v>Dr. Michael Lee</v>
      </c>
      <c r="D199" t="str">
        <f t="shared" ca="1" si="24"/>
        <v>General Medicine</v>
      </c>
      <c r="E199" s="1">
        <f t="shared" ca="1" si="25"/>
        <v>46111</v>
      </c>
      <c r="F199" t="str">
        <f t="shared" ca="1" si="26"/>
        <v>No-Show</v>
      </c>
      <c r="G199">
        <f t="shared" ca="1" si="27"/>
        <v>266</v>
      </c>
    </row>
    <row r="200" spans="1:7" x14ac:dyDescent="0.25">
      <c r="A200" t="str">
        <f t="shared" si="21"/>
        <v>A199</v>
      </c>
      <c r="B200" t="str">
        <f t="shared" ca="1" si="22"/>
        <v>P081</v>
      </c>
      <c r="C200" t="str">
        <f t="shared" ca="1" si="23"/>
        <v>Dr. David Park</v>
      </c>
      <c r="D200" t="str">
        <f t="shared" ca="1" si="24"/>
        <v>Cardiology</v>
      </c>
      <c r="E200" s="1">
        <f t="shared" ca="1" si="25"/>
        <v>46089</v>
      </c>
      <c r="F200" t="str">
        <f t="shared" ca="1" si="26"/>
        <v>Cancelled</v>
      </c>
      <c r="G200">
        <f t="shared" ca="1" si="27"/>
        <v>85</v>
      </c>
    </row>
    <row r="201" spans="1:7" x14ac:dyDescent="0.25">
      <c r="A201" t="str">
        <f t="shared" si="21"/>
        <v>A200</v>
      </c>
      <c r="B201" t="str">
        <f t="shared" ca="1" si="22"/>
        <v>P076</v>
      </c>
      <c r="C201" t="str">
        <f t="shared" ca="1" si="23"/>
        <v>Dr. James Carter</v>
      </c>
      <c r="D201" t="str">
        <f t="shared" ca="1" si="24"/>
        <v>Oncology</v>
      </c>
      <c r="E201" s="1">
        <f t="shared" ca="1" si="25"/>
        <v>46100</v>
      </c>
      <c r="F201" t="str">
        <f t="shared" ca="1" si="26"/>
        <v>No-Show</v>
      </c>
      <c r="G201">
        <f t="shared" ca="1" si="27"/>
        <v>280</v>
      </c>
    </row>
    <row r="202" spans="1:7" x14ac:dyDescent="0.25">
      <c r="A202" t="str">
        <f t="shared" si="21"/>
        <v>A201</v>
      </c>
      <c r="B202" t="str">
        <f t="shared" ca="1" si="22"/>
        <v>P031</v>
      </c>
      <c r="C202" t="str">
        <f t="shared" ca="1" si="23"/>
        <v>Dr. David Park</v>
      </c>
      <c r="D202" t="str">
        <f t="shared" ca="1" si="24"/>
        <v>Emergency Medicine</v>
      </c>
      <c r="E202" s="1">
        <f t="shared" ca="1" si="25"/>
        <v>46096</v>
      </c>
      <c r="F202" t="str">
        <f t="shared" ca="1" si="26"/>
        <v>Cancelled</v>
      </c>
      <c r="G202">
        <f t="shared" ca="1" si="27"/>
        <v>185</v>
      </c>
    </row>
    <row r="203" spans="1:7" x14ac:dyDescent="0.25">
      <c r="A203" t="str">
        <f t="shared" si="21"/>
        <v>A202</v>
      </c>
      <c r="B203" t="str">
        <f t="shared" ca="1" si="22"/>
        <v>P006</v>
      </c>
      <c r="C203" t="str">
        <f t="shared" ca="1" si="23"/>
        <v>Dr. Sarah Kim</v>
      </c>
      <c r="D203" t="str">
        <f t="shared" ca="1" si="24"/>
        <v>Physical Medicine and Rehabilitation</v>
      </c>
      <c r="E203" s="1">
        <f t="shared" ca="1" si="25"/>
        <v>46096</v>
      </c>
      <c r="F203" t="str">
        <f t="shared" ca="1" si="26"/>
        <v>Cancelled</v>
      </c>
      <c r="G203">
        <f t="shared" ca="1" si="27"/>
        <v>296</v>
      </c>
    </row>
    <row r="204" spans="1:7" x14ac:dyDescent="0.25">
      <c r="A204" t="str">
        <f t="shared" si="21"/>
        <v>A203</v>
      </c>
      <c r="B204" t="str">
        <f t="shared" ca="1" si="22"/>
        <v>P002</v>
      </c>
      <c r="C204" t="str">
        <f t="shared" ca="1" si="23"/>
        <v>Dr. James Carter</v>
      </c>
      <c r="D204" t="str">
        <f t="shared" ca="1" si="24"/>
        <v>Oncology</v>
      </c>
      <c r="E204" s="1">
        <f t="shared" ca="1" si="25"/>
        <v>46110</v>
      </c>
      <c r="F204" t="str">
        <f t="shared" ca="1" si="26"/>
        <v>Completed</v>
      </c>
      <c r="G204">
        <f t="shared" ca="1" si="27"/>
        <v>206</v>
      </c>
    </row>
    <row r="205" spans="1:7" x14ac:dyDescent="0.25">
      <c r="A205" t="str">
        <f t="shared" si="21"/>
        <v>A204</v>
      </c>
      <c r="B205" t="str">
        <f t="shared" ca="1" si="22"/>
        <v>P009</v>
      </c>
      <c r="C205" t="str">
        <f t="shared" ca="1" si="23"/>
        <v>Dr. David Park</v>
      </c>
      <c r="D205" t="str">
        <f t="shared" ca="1" si="24"/>
        <v>Neurology</v>
      </c>
      <c r="E205" s="1">
        <f t="shared" ca="1" si="25"/>
        <v>46095</v>
      </c>
      <c r="F205" t="str">
        <f t="shared" ca="1" si="26"/>
        <v>No-Show</v>
      </c>
      <c r="G205">
        <f t="shared" ca="1" si="27"/>
        <v>93</v>
      </c>
    </row>
    <row r="206" spans="1:7" x14ac:dyDescent="0.25">
      <c r="A206" t="str">
        <f t="shared" si="21"/>
        <v>A205</v>
      </c>
      <c r="B206" t="str">
        <f t="shared" ca="1" si="22"/>
        <v>P067</v>
      </c>
      <c r="C206" t="str">
        <f t="shared" ca="1" si="23"/>
        <v>Dr. Sarah Kim</v>
      </c>
      <c r="D206" t="str">
        <f t="shared" ca="1" si="24"/>
        <v>Oncology</v>
      </c>
      <c r="E206" s="1">
        <f t="shared" ca="1" si="25"/>
        <v>46097</v>
      </c>
      <c r="F206" t="str">
        <f t="shared" ca="1" si="26"/>
        <v>Cancelled</v>
      </c>
      <c r="G206">
        <f t="shared" ca="1" si="27"/>
        <v>73</v>
      </c>
    </row>
    <row r="207" spans="1:7" x14ac:dyDescent="0.25">
      <c r="A207" t="str">
        <f t="shared" si="21"/>
        <v>A206</v>
      </c>
      <c r="B207" t="str">
        <f t="shared" ca="1" si="22"/>
        <v>P055</v>
      </c>
      <c r="C207" t="str">
        <f t="shared" ca="1" si="23"/>
        <v>Dr. James Carter</v>
      </c>
      <c r="D207" t="str">
        <f t="shared" ca="1" si="24"/>
        <v>Emergency Medicine</v>
      </c>
      <c r="E207" s="1">
        <f t="shared" ca="1" si="25"/>
        <v>46103</v>
      </c>
      <c r="F207" t="str">
        <f t="shared" ca="1" si="26"/>
        <v>Completed</v>
      </c>
      <c r="G207">
        <f t="shared" ca="1" si="27"/>
        <v>239</v>
      </c>
    </row>
    <row r="208" spans="1:7" x14ac:dyDescent="0.25">
      <c r="A208" t="str">
        <f t="shared" si="21"/>
        <v>A207</v>
      </c>
      <c r="B208" t="str">
        <f t="shared" ca="1" si="22"/>
        <v>P094</v>
      </c>
      <c r="C208" t="str">
        <f t="shared" ca="1" si="23"/>
        <v>Dr. James Carter</v>
      </c>
      <c r="D208" t="str">
        <f t="shared" ca="1" si="24"/>
        <v>Orthopedics</v>
      </c>
      <c r="E208" s="1">
        <f t="shared" ca="1" si="25"/>
        <v>46100</v>
      </c>
      <c r="F208" t="str">
        <f t="shared" ca="1" si="26"/>
        <v>No-Show</v>
      </c>
      <c r="G208">
        <f t="shared" ca="1" si="27"/>
        <v>255</v>
      </c>
    </row>
    <row r="209" spans="1:7" x14ac:dyDescent="0.25">
      <c r="A209" t="str">
        <f t="shared" si="21"/>
        <v>A208</v>
      </c>
      <c r="B209" t="str">
        <f t="shared" ca="1" si="22"/>
        <v>P066</v>
      </c>
      <c r="C209" t="str">
        <f t="shared" ca="1" si="23"/>
        <v>Dr. Michael Lee</v>
      </c>
      <c r="D209" t="str">
        <f t="shared" ca="1" si="24"/>
        <v>General Medicine</v>
      </c>
      <c r="E209" s="1">
        <f t="shared" ca="1" si="25"/>
        <v>46086</v>
      </c>
      <c r="F209" t="str">
        <f t="shared" ca="1" si="26"/>
        <v>Completed</v>
      </c>
      <c r="G209">
        <f t="shared" ca="1" si="27"/>
        <v>249</v>
      </c>
    </row>
    <row r="210" spans="1:7" x14ac:dyDescent="0.25">
      <c r="A210" t="str">
        <f t="shared" si="21"/>
        <v>A209</v>
      </c>
      <c r="B210" t="str">
        <f t="shared" ca="1" si="22"/>
        <v>P019</v>
      </c>
      <c r="C210" t="str">
        <f t="shared" ca="1" si="23"/>
        <v>Dr. Michael Lee</v>
      </c>
      <c r="D210" t="str">
        <f t="shared" ca="1" si="24"/>
        <v>Psychiatry and Mental Health</v>
      </c>
      <c r="E210" s="1">
        <f t="shared" ca="1" si="25"/>
        <v>46108</v>
      </c>
      <c r="F210" t="str">
        <f t="shared" ca="1" si="26"/>
        <v>No-Show</v>
      </c>
      <c r="G210">
        <f t="shared" ca="1" si="27"/>
        <v>241</v>
      </c>
    </row>
    <row r="211" spans="1:7" x14ac:dyDescent="0.25">
      <c r="A211" t="str">
        <f t="shared" si="21"/>
        <v>A210</v>
      </c>
      <c r="B211" t="str">
        <f t="shared" ca="1" si="22"/>
        <v>P036</v>
      </c>
      <c r="C211" t="str">
        <f t="shared" ca="1" si="23"/>
        <v>Dr. David Park</v>
      </c>
      <c r="D211" t="str">
        <f t="shared" ca="1" si="24"/>
        <v>Orthopedics</v>
      </c>
      <c r="E211" s="1">
        <f t="shared" ca="1" si="25"/>
        <v>46100</v>
      </c>
      <c r="F211" t="str">
        <f t="shared" ca="1" si="26"/>
        <v>No-Show</v>
      </c>
      <c r="G211">
        <f t="shared" ca="1" si="27"/>
        <v>227</v>
      </c>
    </row>
    <row r="212" spans="1:7" x14ac:dyDescent="0.25">
      <c r="A212" t="str">
        <f t="shared" si="21"/>
        <v>A211</v>
      </c>
      <c r="B212" t="str">
        <f t="shared" ca="1" si="22"/>
        <v>P098</v>
      </c>
      <c r="C212" t="str">
        <f t="shared" ca="1" si="23"/>
        <v>Dr. Sarah Kim</v>
      </c>
      <c r="D212" t="str">
        <f t="shared" ca="1" si="24"/>
        <v>Dermatology</v>
      </c>
      <c r="E212" s="1">
        <f t="shared" ca="1" si="25"/>
        <v>46108</v>
      </c>
      <c r="F212" t="str">
        <f t="shared" ca="1" si="26"/>
        <v>Cancelled</v>
      </c>
      <c r="G212">
        <f t="shared" ca="1" si="27"/>
        <v>203</v>
      </c>
    </row>
    <row r="213" spans="1:7" x14ac:dyDescent="0.25">
      <c r="A213" t="str">
        <f t="shared" si="21"/>
        <v>A212</v>
      </c>
      <c r="B213" t="str">
        <f t="shared" ca="1" si="22"/>
        <v>P034</v>
      </c>
      <c r="C213" t="str">
        <f t="shared" ca="1" si="23"/>
        <v>Dr. Emily Watson</v>
      </c>
      <c r="D213" t="str">
        <f t="shared" ca="1" si="24"/>
        <v>Physical Medicine and Rehabilitation</v>
      </c>
      <c r="E213" s="1">
        <f t="shared" ca="1" si="25"/>
        <v>46094</v>
      </c>
      <c r="F213" t="str">
        <f t="shared" ca="1" si="26"/>
        <v>Cancelled</v>
      </c>
      <c r="G213">
        <f t="shared" ca="1" si="27"/>
        <v>74</v>
      </c>
    </row>
    <row r="214" spans="1:7" x14ac:dyDescent="0.25">
      <c r="A214" t="str">
        <f t="shared" si="21"/>
        <v>A213</v>
      </c>
      <c r="B214" t="str">
        <f t="shared" ca="1" si="22"/>
        <v>P029</v>
      </c>
      <c r="C214" t="str">
        <f t="shared" ca="1" si="23"/>
        <v>Dr. David Park</v>
      </c>
      <c r="D214" t="str">
        <f t="shared" ca="1" si="24"/>
        <v>Neurology</v>
      </c>
      <c r="E214" s="1">
        <f t="shared" ca="1" si="25"/>
        <v>46090</v>
      </c>
      <c r="F214" t="str">
        <f t="shared" ca="1" si="26"/>
        <v>Cancelled</v>
      </c>
      <c r="G214">
        <f t="shared" ca="1" si="27"/>
        <v>125</v>
      </c>
    </row>
    <row r="215" spans="1:7" x14ac:dyDescent="0.25">
      <c r="A215" t="str">
        <f t="shared" si="21"/>
        <v>A214</v>
      </c>
      <c r="B215" t="str">
        <f t="shared" ca="1" si="22"/>
        <v>P079</v>
      </c>
      <c r="C215" t="str">
        <f t="shared" ca="1" si="23"/>
        <v>Dr. Sarah Kim</v>
      </c>
      <c r="D215" t="str">
        <f t="shared" ca="1" si="24"/>
        <v>Physical Medicine and Rehabilitation</v>
      </c>
      <c r="E215" s="1">
        <f t="shared" ca="1" si="25"/>
        <v>46099</v>
      </c>
      <c r="F215" t="str">
        <f t="shared" ca="1" si="26"/>
        <v>No-Show</v>
      </c>
      <c r="G215">
        <f t="shared" ca="1" si="27"/>
        <v>294</v>
      </c>
    </row>
    <row r="216" spans="1:7" x14ac:dyDescent="0.25">
      <c r="A216" t="str">
        <f t="shared" si="21"/>
        <v>A215</v>
      </c>
      <c r="B216" t="str">
        <f t="shared" ca="1" si="22"/>
        <v>P072</v>
      </c>
      <c r="C216" t="str">
        <f t="shared" ca="1" si="23"/>
        <v>Dr. Michael Lee</v>
      </c>
      <c r="D216" t="str">
        <f t="shared" ca="1" si="24"/>
        <v>Oncology</v>
      </c>
      <c r="E216" s="1">
        <f t="shared" ca="1" si="25"/>
        <v>46083</v>
      </c>
      <c r="F216" t="str">
        <f t="shared" ca="1" si="26"/>
        <v>Completed</v>
      </c>
      <c r="G216">
        <f t="shared" ca="1" si="27"/>
        <v>205</v>
      </c>
    </row>
    <row r="217" spans="1:7" x14ac:dyDescent="0.25">
      <c r="A217" t="str">
        <f t="shared" si="21"/>
        <v>A216</v>
      </c>
      <c r="B217" t="str">
        <f t="shared" ca="1" si="22"/>
        <v>P070</v>
      </c>
      <c r="C217" t="str">
        <f t="shared" ca="1" si="23"/>
        <v>Dr. David Park</v>
      </c>
      <c r="D217" t="str">
        <f t="shared" ca="1" si="24"/>
        <v>Pharmacy</v>
      </c>
      <c r="E217" s="1">
        <f t="shared" ca="1" si="25"/>
        <v>46095</v>
      </c>
      <c r="F217" t="str">
        <f t="shared" ca="1" si="26"/>
        <v>Completed</v>
      </c>
      <c r="G217">
        <f t="shared" ca="1" si="27"/>
        <v>244</v>
      </c>
    </row>
    <row r="218" spans="1:7" x14ac:dyDescent="0.25">
      <c r="A218" t="str">
        <f t="shared" si="21"/>
        <v>A217</v>
      </c>
      <c r="B218" t="str">
        <f t="shared" ca="1" si="22"/>
        <v>P054</v>
      </c>
      <c r="C218" t="str">
        <f t="shared" ca="1" si="23"/>
        <v>Dr. James Carter</v>
      </c>
      <c r="D218" t="str">
        <f t="shared" ca="1" si="24"/>
        <v>Oncology</v>
      </c>
      <c r="E218" s="1">
        <f t="shared" ca="1" si="25"/>
        <v>46094</v>
      </c>
      <c r="F218" t="str">
        <f t="shared" ca="1" si="26"/>
        <v>Completed</v>
      </c>
      <c r="G218">
        <f t="shared" ca="1" si="27"/>
        <v>139</v>
      </c>
    </row>
    <row r="219" spans="1:7" x14ac:dyDescent="0.25">
      <c r="A219" t="str">
        <f t="shared" si="21"/>
        <v>A218</v>
      </c>
      <c r="B219" t="str">
        <f t="shared" ca="1" si="22"/>
        <v>P091</v>
      </c>
      <c r="C219" t="str">
        <f t="shared" ca="1" si="23"/>
        <v>Dr. Sarah Kim</v>
      </c>
      <c r="D219" t="str">
        <f t="shared" ca="1" si="24"/>
        <v>Physical Medicine and Rehabilitation</v>
      </c>
      <c r="E219" s="1">
        <f t="shared" ca="1" si="25"/>
        <v>46110</v>
      </c>
      <c r="F219" t="str">
        <f t="shared" ca="1" si="26"/>
        <v>Completed</v>
      </c>
      <c r="G219">
        <f t="shared" ca="1" si="27"/>
        <v>145</v>
      </c>
    </row>
    <row r="220" spans="1:7" x14ac:dyDescent="0.25">
      <c r="A220" t="str">
        <f t="shared" si="21"/>
        <v>A219</v>
      </c>
      <c r="B220" t="str">
        <f t="shared" ca="1" si="22"/>
        <v>P053</v>
      </c>
      <c r="C220" t="str">
        <f t="shared" ca="1" si="23"/>
        <v>Dr. Emily Watson</v>
      </c>
      <c r="D220" t="str">
        <f t="shared" ca="1" si="24"/>
        <v>Emergency Medicine</v>
      </c>
      <c r="E220" s="1">
        <f t="shared" ca="1" si="25"/>
        <v>46111</v>
      </c>
      <c r="F220" t="str">
        <f t="shared" ca="1" si="26"/>
        <v>Completed</v>
      </c>
      <c r="G220">
        <f t="shared" ca="1" si="27"/>
        <v>169</v>
      </c>
    </row>
    <row r="221" spans="1:7" x14ac:dyDescent="0.25">
      <c r="A221" t="str">
        <f t="shared" si="21"/>
        <v>A220</v>
      </c>
      <c r="B221" t="str">
        <f t="shared" ca="1" si="22"/>
        <v>P075</v>
      </c>
      <c r="C221" t="str">
        <f t="shared" ca="1" si="23"/>
        <v>Dr. James Carter</v>
      </c>
      <c r="D221" t="str">
        <f t="shared" ca="1" si="24"/>
        <v>Orthopedics</v>
      </c>
      <c r="E221" s="1">
        <f t="shared" ca="1" si="25"/>
        <v>46110</v>
      </c>
      <c r="F221" t="str">
        <f t="shared" ca="1" si="26"/>
        <v>Completed</v>
      </c>
      <c r="G221">
        <f t="shared" ca="1" si="27"/>
        <v>247</v>
      </c>
    </row>
    <row r="222" spans="1:7" x14ac:dyDescent="0.25">
      <c r="A222" t="str">
        <f t="shared" si="21"/>
        <v>A221</v>
      </c>
      <c r="B222" t="str">
        <f t="shared" ca="1" si="22"/>
        <v>P093</v>
      </c>
      <c r="C222" t="str">
        <f t="shared" ca="1" si="23"/>
        <v>Dr. Sarah Kim</v>
      </c>
      <c r="D222" t="str">
        <f t="shared" ca="1" si="24"/>
        <v>Oncology</v>
      </c>
      <c r="E222" s="1">
        <f t="shared" ca="1" si="25"/>
        <v>46102</v>
      </c>
      <c r="F222" t="str">
        <f t="shared" ca="1" si="26"/>
        <v>Cancelled</v>
      </c>
      <c r="G222">
        <f t="shared" ca="1" si="27"/>
        <v>100</v>
      </c>
    </row>
    <row r="223" spans="1:7" x14ac:dyDescent="0.25">
      <c r="A223" t="str">
        <f t="shared" si="21"/>
        <v>A222</v>
      </c>
      <c r="B223" t="str">
        <f t="shared" ca="1" si="22"/>
        <v>P046</v>
      </c>
      <c r="C223" t="str">
        <f t="shared" ca="1" si="23"/>
        <v>Dr. James Carter</v>
      </c>
      <c r="D223" t="str">
        <f t="shared" ca="1" si="24"/>
        <v>Cardiology</v>
      </c>
      <c r="E223" s="1">
        <f t="shared" ca="1" si="25"/>
        <v>46100</v>
      </c>
      <c r="F223" t="str">
        <f t="shared" ca="1" si="26"/>
        <v>No-Show</v>
      </c>
      <c r="G223">
        <f t="shared" ca="1" si="27"/>
        <v>173</v>
      </c>
    </row>
    <row r="224" spans="1:7" x14ac:dyDescent="0.25">
      <c r="A224" t="str">
        <f t="shared" si="21"/>
        <v>A223</v>
      </c>
      <c r="B224" t="str">
        <f t="shared" ca="1" si="22"/>
        <v>P066</v>
      </c>
      <c r="C224" t="str">
        <f t="shared" ca="1" si="23"/>
        <v>Dr. James Carter</v>
      </c>
      <c r="D224" t="str">
        <f t="shared" ca="1" si="24"/>
        <v>Physical Medicine and Rehabilitation</v>
      </c>
      <c r="E224" s="1">
        <f t="shared" ca="1" si="25"/>
        <v>46087</v>
      </c>
      <c r="F224" t="str">
        <f t="shared" ca="1" si="26"/>
        <v>Completed</v>
      </c>
      <c r="G224">
        <f t="shared" ca="1" si="27"/>
        <v>96</v>
      </c>
    </row>
    <row r="225" spans="1:7" x14ac:dyDescent="0.25">
      <c r="A225" t="str">
        <f t="shared" si="21"/>
        <v>A224</v>
      </c>
      <c r="B225" t="str">
        <f t="shared" ca="1" si="22"/>
        <v>P064</v>
      </c>
      <c r="C225" t="str">
        <f t="shared" ca="1" si="23"/>
        <v>Dr. James Carter</v>
      </c>
      <c r="D225" t="str">
        <f t="shared" ca="1" si="24"/>
        <v>Oncology</v>
      </c>
      <c r="E225" s="1">
        <f t="shared" ca="1" si="25"/>
        <v>46087</v>
      </c>
      <c r="F225" t="str">
        <f t="shared" ca="1" si="26"/>
        <v>Completed</v>
      </c>
      <c r="G225">
        <f t="shared" ca="1" si="27"/>
        <v>263</v>
      </c>
    </row>
    <row r="226" spans="1:7" x14ac:dyDescent="0.25">
      <c r="A226" t="str">
        <f t="shared" si="21"/>
        <v>A225</v>
      </c>
      <c r="B226" t="str">
        <f t="shared" ca="1" si="22"/>
        <v>P050</v>
      </c>
      <c r="C226" t="str">
        <f t="shared" ca="1" si="23"/>
        <v>Dr. David Park</v>
      </c>
      <c r="D226" t="str">
        <f t="shared" ca="1" si="24"/>
        <v>Cardiology</v>
      </c>
      <c r="E226" s="1">
        <f t="shared" ca="1" si="25"/>
        <v>46105</v>
      </c>
      <c r="F226" t="str">
        <f t="shared" ca="1" si="26"/>
        <v>Cancelled</v>
      </c>
      <c r="G226">
        <f t="shared" ca="1" si="27"/>
        <v>220</v>
      </c>
    </row>
    <row r="227" spans="1:7" x14ac:dyDescent="0.25">
      <c r="A227" t="str">
        <f t="shared" si="21"/>
        <v>A226</v>
      </c>
      <c r="B227" t="str">
        <f t="shared" ca="1" si="22"/>
        <v>P034</v>
      </c>
      <c r="C227" t="str">
        <f t="shared" ca="1" si="23"/>
        <v>Dr. Michael Lee</v>
      </c>
      <c r="D227" t="str">
        <f t="shared" ca="1" si="24"/>
        <v>Emergency Medicine</v>
      </c>
      <c r="E227" s="1">
        <f t="shared" ca="1" si="25"/>
        <v>46110</v>
      </c>
      <c r="F227" t="str">
        <f t="shared" ca="1" si="26"/>
        <v>No-Show</v>
      </c>
      <c r="G227">
        <f t="shared" ca="1" si="27"/>
        <v>207</v>
      </c>
    </row>
    <row r="228" spans="1:7" x14ac:dyDescent="0.25">
      <c r="A228" t="str">
        <f t="shared" si="21"/>
        <v>A227</v>
      </c>
      <c r="B228" t="str">
        <f t="shared" ca="1" si="22"/>
        <v>P054</v>
      </c>
      <c r="C228" t="str">
        <f t="shared" ca="1" si="23"/>
        <v>Dr. Michael Lee</v>
      </c>
      <c r="D228" t="str">
        <f t="shared" ca="1" si="24"/>
        <v>Emergency Medicine</v>
      </c>
      <c r="E228" s="1">
        <f t="shared" ca="1" si="25"/>
        <v>46092</v>
      </c>
      <c r="F228" t="str">
        <f t="shared" ca="1" si="26"/>
        <v>Completed</v>
      </c>
      <c r="G228">
        <f t="shared" ca="1" si="27"/>
        <v>271</v>
      </c>
    </row>
    <row r="229" spans="1:7" x14ac:dyDescent="0.25">
      <c r="A229" t="str">
        <f t="shared" si="21"/>
        <v>A228</v>
      </c>
      <c r="B229" t="str">
        <f t="shared" ca="1" si="22"/>
        <v>P062</v>
      </c>
      <c r="C229" t="str">
        <f t="shared" ca="1" si="23"/>
        <v>Dr. Michael Lee</v>
      </c>
      <c r="D229" t="str">
        <f t="shared" ca="1" si="24"/>
        <v>Cardiology</v>
      </c>
      <c r="E229" s="1">
        <f t="shared" ca="1" si="25"/>
        <v>46096</v>
      </c>
      <c r="F229" t="str">
        <f t="shared" ca="1" si="26"/>
        <v>Completed</v>
      </c>
      <c r="G229">
        <f t="shared" ca="1" si="27"/>
        <v>67</v>
      </c>
    </row>
    <row r="230" spans="1:7" x14ac:dyDescent="0.25">
      <c r="A230" t="str">
        <f t="shared" si="21"/>
        <v>A229</v>
      </c>
      <c r="B230" t="str">
        <f t="shared" ca="1" si="22"/>
        <v>P070</v>
      </c>
      <c r="C230" t="str">
        <f t="shared" ca="1" si="23"/>
        <v>Dr. James Carter</v>
      </c>
      <c r="D230" t="str">
        <f t="shared" ca="1" si="24"/>
        <v>Emergency Medicine</v>
      </c>
      <c r="E230" s="1">
        <f t="shared" ca="1" si="25"/>
        <v>46092</v>
      </c>
      <c r="F230" t="str">
        <f t="shared" ca="1" si="26"/>
        <v>No-Show</v>
      </c>
      <c r="G230">
        <f t="shared" ca="1" si="27"/>
        <v>58</v>
      </c>
    </row>
    <row r="231" spans="1:7" x14ac:dyDescent="0.25">
      <c r="A231" t="str">
        <f t="shared" si="21"/>
        <v>A230</v>
      </c>
      <c r="B231" t="str">
        <f t="shared" ca="1" si="22"/>
        <v>P017</v>
      </c>
      <c r="C231" t="str">
        <f t="shared" ca="1" si="23"/>
        <v>Dr. Michael Lee</v>
      </c>
      <c r="D231" t="str">
        <f t="shared" ca="1" si="24"/>
        <v>Cardiology</v>
      </c>
      <c r="E231" s="1">
        <f t="shared" ca="1" si="25"/>
        <v>46089</v>
      </c>
      <c r="F231" t="str">
        <f t="shared" ca="1" si="26"/>
        <v>Completed</v>
      </c>
      <c r="G231">
        <f t="shared" ca="1" si="27"/>
        <v>176</v>
      </c>
    </row>
    <row r="232" spans="1:7" x14ac:dyDescent="0.25">
      <c r="A232" t="str">
        <f t="shared" si="21"/>
        <v>A231</v>
      </c>
      <c r="B232" t="str">
        <f t="shared" ca="1" si="22"/>
        <v>P026</v>
      </c>
      <c r="C232" t="str">
        <f t="shared" ca="1" si="23"/>
        <v>Dr. David Park</v>
      </c>
      <c r="D232" t="str">
        <f t="shared" ca="1" si="24"/>
        <v>General Medicine</v>
      </c>
      <c r="E232" s="1">
        <f t="shared" ca="1" si="25"/>
        <v>46099</v>
      </c>
      <c r="F232" t="str">
        <f t="shared" ca="1" si="26"/>
        <v>Completed</v>
      </c>
      <c r="G232">
        <f t="shared" ca="1" si="27"/>
        <v>240</v>
      </c>
    </row>
    <row r="233" spans="1:7" x14ac:dyDescent="0.25">
      <c r="A233" t="str">
        <f t="shared" si="21"/>
        <v>A232</v>
      </c>
      <c r="B233" t="str">
        <f t="shared" ca="1" si="22"/>
        <v>P033</v>
      </c>
      <c r="C233" t="str">
        <f t="shared" ca="1" si="23"/>
        <v>Dr. Emily Watson</v>
      </c>
      <c r="D233" t="str">
        <f t="shared" ca="1" si="24"/>
        <v>Orthopedics</v>
      </c>
      <c r="E233" s="1">
        <f t="shared" ca="1" si="25"/>
        <v>46084</v>
      </c>
      <c r="F233" t="str">
        <f t="shared" ca="1" si="26"/>
        <v>Cancelled</v>
      </c>
      <c r="G233">
        <f t="shared" ca="1" si="27"/>
        <v>64</v>
      </c>
    </row>
    <row r="234" spans="1:7" x14ac:dyDescent="0.25">
      <c r="A234" t="str">
        <f t="shared" si="21"/>
        <v>A233</v>
      </c>
      <c r="B234" t="str">
        <f t="shared" ca="1" si="22"/>
        <v>P065</v>
      </c>
      <c r="C234" t="str">
        <f t="shared" ca="1" si="23"/>
        <v>Dr. Sarah Kim</v>
      </c>
      <c r="D234" t="str">
        <f t="shared" ca="1" si="24"/>
        <v>Emergency Medicine</v>
      </c>
      <c r="E234" s="1">
        <f t="shared" ca="1" si="25"/>
        <v>46095</v>
      </c>
      <c r="F234" t="str">
        <f t="shared" ca="1" si="26"/>
        <v>Completed</v>
      </c>
      <c r="G234">
        <f t="shared" ca="1" si="27"/>
        <v>213</v>
      </c>
    </row>
    <row r="235" spans="1:7" x14ac:dyDescent="0.25">
      <c r="A235" t="str">
        <f t="shared" si="21"/>
        <v>A234</v>
      </c>
      <c r="B235" t="str">
        <f t="shared" ca="1" si="22"/>
        <v>P002</v>
      </c>
      <c r="C235" t="str">
        <f t="shared" ca="1" si="23"/>
        <v>Dr. Emily Watson</v>
      </c>
      <c r="D235" t="str">
        <f t="shared" ca="1" si="24"/>
        <v>Orthopedics</v>
      </c>
      <c r="E235" s="1">
        <f t="shared" ca="1" si="25"/>
        <v>46102</v>
      </c>
      <c r="F235" t="str">
        <f t="shared" ca="1" si="26"/>
        <v>No-Show</v>
      </c>
      <c r="G235">
        <f t="shared" ca="1" si="27"/>
        <v>165</v>
      </c>
    </row>
    <row r="236" spans="1:7" x14ac:dyDescent="0.25">
      <c r="A236" t="str">
        <f t="shared" si="21"/>
        <v>A235</v>
      </c>
      <c r="B236" t="str">
        <f t="shared" ca="1" si="22"/>
        <v>P033</v>
      </c>
      <c r="C236" t="str">
        <f t="shared" ca="1" si="23"/>
        <v>Dr. Sarah Kim</v>
      </c>
      <c r="D236" t="str">
        <f t="shared" ca="1" si="24"/>
        <v>Psychiatry and Mental Health</v>
      </c>
      <c r="E236" s="1">
        <f t="shared" ca="1" si="25"/>
        <v>46086</v>
      </c>
      <c r="F236" t="str">
        <f t="shared" ca="1" si="26"/>
        <v>Cancelled</v>
      </c>
      <c r="G236">
        <f t="shared" ca="1" si="27"/>
        <v>211</v>
      </c>
    </row>
    <row r="237" spans="1:7" x14ac:dyDescent="0.25">
      <c r="A237" t="str">
        <f t="shared" si="21"/>
        <v>A236</v>
      </c>
      <c r="B237" t="str">
        <f t="shared" ca="1" si="22"/>
        <v>P078</v>
      </c>
      <c r="C237" t="str">
        <f t="shared" ca="1" si="23"/>
        <v>Dr. David Park</v>
      </c>
      <c r="D237" t="str">
        <f t="shared" ca="1" si="24"/>
        <v>Pharmacy</v>
      </c>
      <c r="E237" s="1">
        <f t="shared" ca="1" si="25"/>
        <v>46099</v>
      </c>
      <c r="F237" t="str">
        <f t="shared" ca="1" si="26"/>
        <v>Completed</v>
      </c>
      <c r="G237">
        <f t="shared" ca="1" si="27"/>
        <v>72</v>
      </c>
    </row>
    <row r="238" spans="1:7" x14ac:dyDescent="0.25">
      <c r="A238" t="str">
        <f t="shared" si="21"/>
        <v>A237</v>
      </c>
      <c r="B238" t="str">
        <f t="shared" ca="1" si="22"/>
        <v>P067</v>
      </c>
      <c r="C238" t="str">
        <f t="shared" ca="1" si="23"/>
        <v>Dr. James Carter</v>
      </c>
      <c r="D238" t="str">
        <f t="shared" ca="1" si="24"/>
        <v>Pharmacy</v>
      </c>
      <c r="E238" s="1">
        <f t="shared" ca="1" si="25"/>
        <v>46089</v>
      </c>
      <c r="F238" t="str">
        <f t="shared" ca="1" si="26"/>
        <v>No-Show</v>
      </c>
      <c r="G238">
        <f t="shared" ca="1" si="27"/>
        <v>224</v>
      </c>
    </row>
    <row r="239" spans="1:7" x14ac:dyDescent="0.25">
      <c r="A239" t="str">
        <f t="shared" si="21"/>
        <v>A238</v>
      </c>
      <c r="B239" t="str">
        <f t="shared" ca="1" si="22"/>
        <v>P018</v>
      </c>
      <c r="C239" t="str">
        <f t="shared" ca="1" si="23"/>
        <v>Dr. Michael Lee</v>
      </c>
      <c r="D239" t="str">
        <f t="shared" ca="1" si="24"/>
        <v>General Medicine</v>
      </c>
      <c r="E239" s="1">
        <f t="shared" ca="1" si="25"/>
        <v>46088</v>
      </c>
      <c r="F239" t="str">
        <f t="shared" ca="1" si="26"/>
        <v>Completed</v>
      </c>
      <c r="G239">
        <f t="shared" ca="1" si="27"/>
        <v>141</v>
      </c>
    </row>
    <row r="240" spans="1:7" x14ac:dyDescent="0.25">
      <c r="A240" t="str">
        <f t="shared" si="21"/>
        <v>A239</v>
      </c>
      <c r="B240" t="str">
        <f t="shared" ca="1" si="22"/>
        <v>P098</v>
      </c>
      <c r="C240" t="str">
        <f t="shared" ca="1" si="23"/>
        <v>Dr. Emily Watson</v>
      </c>
      <c r="D240" t="str">
        <f t="shared" ca="1" si="24"/>
        <v>Emergency Medicine</v>
      </c>
      <c r="E240" s="1">
        <f t="shared" ca="1" si="25"/>
        <v>46087</v>
      </c>
      <c r="F240" t="str">
        <f t="shared" ca="1" si="26"/>
        <v>Completed</v>
      </c>
      <c r="G240">
        <f t="shared" ca="1" si="27"/>
        <v>287</v>
      </c>
    </row>
    <row r="241" spans="1:7" x14ac:dyDescent="0.25">
      <c r="A241" t="str">
        <f t="shared" si="21"/>
        <v>A240</v>
      </c>
      <c r="B241" t="str">
        <f t="shared" ca="1" si="22"/>
        <v>P019</v>
      </c>
      <c r="C241" t="str">
        <f t="shared" ca="1" si="23"/>
        <v>Dr. Emily Watson</v>
      </c>
      <c r="D241" t="str">
        <f t="shared" ca="1" si="24"/>
        <v>General Medicine</v>
      </c>
      <c r="E241" s="1">
        <f t="shared" ca="1" si="25"/>
        <v>46082</v>
      </c>
      <c r="F241" t="str">
        <f t="shared" ca="1" si="26"/>
        <v>Completed</v>
      </c>
      <c r="G241">
        <f t="shared" ca="1" si="27"/>
        <v>54</v>
      </c>
    </row>
    <row r="242" spans="1:7" x14ac:dyDescent="0.25">
      <c r="A242" t="str">
        <f t="shared" si="21"/>
        <v>A241</v>
      </c>
      <c r="B242" t="str">
        <f t="shared" ca="1" si="22"/>
        <v>P022</v>
      </c>
      <c r="C242" t="str">
        <f t="shared" ca="1" si="23"/>
        <v>Dr. Sarah Kim</v>
      </c>
      <c r="D242" t="str">
        <f t="shared" ca="1" si="24"/>
        <v>Orthopedics</v>
      </c>
      <c r="E242" s="1">
        <f t="shared" ca="1" si="25"/>
        <v>46097</v>
      </c>
      <c r="F242" t="str">
        <f t="shared" ca="1" si="26"/>
        <v>No-Show</v>
      </c>
      <c r="G242">
        <f t="shared" ca="1" si="27"/>
        <v>83</v>
      </c>
    </row>
    <row r="243" spans="1:7" x14ac:dyDescent="0.25">
      <c r="A243" t="str">
        <f t="shared" si="21"/>
        <v>A242</v>
      </c>
      <c r="B243" t="str">
        <f t="shared" ca="1" si="22"/>
        <v>P052</v>
      </c>
      <c r="C243" t="str">
        <f t="shared" ca="1" si="23"/>
        <v>Dr. James Carter</v>
      </c>
      <c r="D243" t="str">
        <f t="shared" ca="1" si="24"/>
        <v>Cardiology</v>
      </c>
      <c r="E243" s="1">
        <f t="shared" ca="1" si="25"/>
        <v>46084</v>
      </c>
      <c r="F243" t="str">
        <f t="shared" ca="1" si="26"/>
        <v>Completed</v>
      </c>
      <c r="G243">
        <f t="shared" ca="1" si="27"/>
        <v>54</v>
      </c>
    </row>
    <row r="244" spans="1:7" x14ac:dyDescent="0.25">
      <c r="A244" t="str">
        <f t="shared" si="21"/>
        <v>A243</v>
      </c>
      <c r="B244" t="str">
        <f t="shared" ca="1" si="22"/>
        <v>P041</v>
      </c>
      <c r="C244" t="str">
        <f t="shared" ca="1" si="23"/>
        <v>Dr. Sarah Kim</v>
      </c>
      <c r="D244" t="str">
        <f t="shared" ca="1" si="24"/>
        <v>General Medicine</v>
      </c>
      <c r="E244" s="1">
        <f t="shared" ca="1" si="25"/>
        <v>46093</v>
      </c>
      <c r="F244" t="str">
        <f t="shared" ca="1" si="26"/>
        <v>Completed</v>
      </c>
      <c r="G244">
        <f t="shared" ca="1" si="27"/>
        <v>260</v>
      </c>
    </row>
    <row r="245" spans="1:7" x14ac:dyDescent="0.25">
      <c r="A245" t="str">
        <f t="shared" si="21"/>
        <v>A244</v>
      </c>
      <c r="B245" t="str">
        <f t="shared" ca="1" si="22"/>
        <v>P028</v>
      </c>
      <c r="C245" t="str">
        <f t="shared" ca="1" si="23"/>
        <v>Dr. Michael Lee</v>
      </c>
      <c r="D245" t="str">
        <f t="shared" ca="1" si="24"/>
        <v>Orthopedics</v>
      </c>
      <c r="E245" s="1">
        <f t="shared" ca="1" si="25"/>
        <v>46107</v>
      </c>
      <c r="F245" t="str">
        <f t="shared" ca="1" si="26"/>
        <v>No-Show</v>
      </c>
      <c r="G245">
        <f t="shared" ca="1" si="27"/>
        <v>230</v>
      </c>
    </row>
    <row r="246" spans="1:7" x14ac:dyDescent="0.25">
      <c r="A246" t="str">
        <f t="shared" si="21"/>
        <v>A245</v>
      </c>
      <c r="B246" t="str">
        <f t="shared" ca="1" si="22"/>
        <v>P016</v>
      </c>
      <c r="C246" t="str">
        <f t="shared" ca="1" si="23"/>
        <v>Dr. James Carter</v>
      </c>
      <c r="D246" t="str">
        <f t="shared" ca="1" si="24"/>
        <v>Dermatology</v>
      </c>
      <c r="E246" s="1">
        <f t="shared" ca="1" si="25"/>
        <v>46083</v>
      </c>
      <c r="F246" t="str">
        <f t="shared" ca="1" si="26"/>
        <v>No-Show</v>
      </c>
      <c r="G246">
        <f t="shared" ca="1" si="27"/>
        <v>104</v>
      </c>
    </row>
    <row r="247" spans="1:7" x14ac:dyDescent="0.25">
      <c r="A247" t="str">
        <f t="shared" si="21"/>
        <v>A246</v>
      </c>
      <c r="B247" t="str">
        <f t="shared" ca="1" si="22"/>
        <v>P081</v>
      </c>
      <c r="C247" t="str">
        <f t="shared" ca="1" si="23"/>
        <v>Dr. James Carter</v>
      </c>
      <c r="D247" t="str">
        <f t="shared" ca="1" si="24"/>
        <v>Oncology</v>
      </c>
      <c r="E247" s="1">
        <f t="shared" ca="1" si="25"/>
        <v>46090</v>
      </c>
      <c r="F247" t="str">
        <f t="shared" ca="1" si="26"/>
        <v>Completed</v>
      </c>
      <c r="G247">
        <f t="shared" ca="1" si="27"/>
        <v>128</v>
      </c>
    </row>
    <row r="248" spans="1:7" x14ac:dyDescent="0.25">
      <c r="A248" t="str">
        <f t="shared" si="21"/>
        <v>A247</v>
      </c>
      <c r="B248" t="str">
        <f t="shared" ca="1" si="22"/>
        <v>P075</v>
      </c>
      <c r="C248" t="str">
        <f t="shared" ca="1" si="23"/>
        <v>Dr. Emily Watson</v>
      </c>
      <c r="D248" t="str">
        <f t="shared" ca="1" si="24"/>
        <v>Orthopedics</v>
      </c>
      <c r="E248" s="1">
        <f t="shared" ca="1" si="25"/>
        <v>46092</v>
      </c>
      <c r="F248" t="str">
        <f t="shared" ca="1" si="26"/>
        <v>No-Show</v>
      </c>
      <c r="G248">
        <f t="shared" ca="1" si="27"/>
        <v>277</v>
      </c>
    </row>
    <row r="249" spans="1:7" x14ac:dyDescent="0.25">
      <c r="A249" t="str">
        <f t="shared" si="21"/>
        <v>A248</v>
      </c>
      <c r="B249" t="str">
        <f t="shared" ca="1" si="22"/>
        <v>P088</v>
      </c>
      <c r="C249" t="str">
        <f t="shared" ca="1" si="23"/>
        <v>Dr. Michael Lee</v>
      </c>
      <c r="D249" t="str">
        <f t="shared" ca="1" si="24"/>
        <v>Orthopedics</v>
      </c>
      <c r="E249" s="1">
        <f t="shared" ca="1" si="25"/>
        <v>46090</v>
      </c>
      <c r="F249" t="str">
        <f t="shared" ca="1" si="26"/>
        <v>No-Show</v>
      </c>
      <c r="G249">
        <f t="shared" ca="1" si="27"/>
        <v>298</v>
      </c>
    </row>
    <row r="250" spans="1:7" x14ac:dyDescent="0.25">
      <c r="A250" t="str">
        <f t="shared" si="21"/>
        <v>A249</v>
      </c>
      <c r="B250" t="str">
        <f t="shared" ca="1" si="22"/>
        <v>P037</v>
      </c>
      <c r="C250" t="str">
        <f t="shared" ca="1" si="23"/>
        <v>Dr. Emily Watson</v>
      </c>
      <c r="D250" t="str">
        <f t="shared" ca="1" si="24"/>
        <v>Cardiology</v>
      </c>
      <c r="E250" s="1">
        <f t="shared" ca="1" si="25"/>
        <v>46095</v>
      </c>
      <c r="F250" t="str">
        <f t="shared" ca="1" si="26"/>
        <v>Cancelled</v>
      </c>
      <c r="G250">
        <f t="shared" ca="1" si="27"/>
        <v>259</v>
      </c>
    </row>
    <row r="251" spans="1:7" x14ac:dyDescent="0.25">
      <c r="A251" t="str">
        <f t="shared" si="21"/>
        <v>A250</v>
      </c>
      <c r="B251" t="str">
        <f t="shared" ca="1" si="22"/>
        <v>P064</v>
      </c>
      <c r="C251" t="str">
        <f t="shared" ca="1" si="23"/>
        <v>Dr. Sarah Kim</v>
      </c>
      <c r="D251" t="str">
        <f t="shared" ca="1" si="24"/>
        <v>Neurology</v>
      </c>
      <c r="E251" s="1">
        <f t="shared" ca="1" si="25"/>
        <v>46088</v>
      </c>
      <c r="F251" t="str">
        <f t="shared" ca="1" si="26"/>
        <v>No-Show</v>
      </c>
      <c r="G251">
        <f t="shared" ca="1" si="27"/>
        <v>188</v>
      </c>
    </row>
    <row r="252" spans="1:7" x14ac:dyDescent="0.25">
      <c r="A252" t="str">
        <f t="shared" si="21"/>
        <v>A251</v>
      </c>
      <c r="B252" t="str">
        <f t="shared" ca="1" si="22"/>
        <v>P021</v>
      </c>
      <c r="C252" t="str">
        <f t="shared" ca="1" si="23"/>
        <v>Dr. Sarah Kim</v>
      </c>
      <c r="D252" t="str">
        <f t="shared" ca="1" si="24"/>
        <v>Pharmacy</v>
      </c>
      <c r="E252" s="1">
        <f t="shared" ca="1" si="25"/>
        <v>46095</v>
      </c>
      <c r="F252" t="str">
        <f t="shared" ca="1" si="26"/>
        <v>No-Show</v>
      </c>
      <c r="G252">
        <f t="shared" ca="1" si="27"/>
        <v>295</v>
      </c>
    </row>
    <row r="253" spans="1:7" x14ac:dyDescent="0.25">
      <c r="A253" t="str">
        <f t="shared" si="21"/>
        <v>A252</v>
      </c>
      <c r="B253" t="str">
        <f t="shared" ca="1" si="22"/>
        <v>P068</v>
      </c>
      <c r="C253" t="str">
        <f t="shared" ca="1" si="23"/>
        <v>Dr. Michael Lee</v>
      </c>
      <c r="D253" t="str">
        <f t="shared" ca="1" si="24"/>
        <v>Orthopedics</v>
      </c>
      <c r="E253" s="1">
        <f t="shared" ca="1" si="25"/>
        <v>46097</v>
      </c>
      <c r="F253" t="str">
        <f t="shared" ca="1" si="26"/>
        <v>Cancelled</v>
      </c>
      <c r="G253">
        <f t="shared" ca="1" si="27"/>
        <v>109</v>
      </c>
    </row>
    <row r="254" spans="1:7" x14ac:dyDescent="0.25">
      <c r="A254" t="str">
        <f t="shared" si="21"/>
        <v>A253</v>
      </c>
      <c r="B254" t="str">
        <f t="shared" ca="1" si="22"/>
        <v>P040</v>
      </c>
      <c r="C254" t="str">
        <f t="shared" ca="1" si="23"/>
        <v>Dr. Emily Watson</v>
      </c>
      <c r="D254" t="str">
        <f t="shared" ca="1" si="24"/>
        <v>Emergency Medicine</v>
      </c>
      <c r="E254" s="1">
        <f t="shared" ca="1" si="25"/>
        <v>46097</v>
      </c>
      <c r="F254" t="str">
        <f t="shared" ca="1" si="26"/>
        <v>Completed</v>
      </c>
      <c r="G254">
        <f t="shared" ca="1" si="27"/>
        <v>81</v>
      </c>
    </row>
    <row r="255" spans="1:7" x14ac:dyDescent="0.25">
      <c r="A255" t="str">
        <f t="shared" si="21"/>
        <v>A254</v>
      </c>
      <c r="B255" t="str">
        <f t="shared" ca="1" si="22"/>
        <v>P056</v>
      </c>
      <c r="C255" t="str">
        <f t="shared" ca="1" si="23"/>
        <v>Dr. David Park</v>
      </c>
      <c r="D255" t="str">
        <f t="shared" ca="1" si="24"/>
        <v>Dermatology</v>
      </c>
      <c r="E255" s="1">
        <f t="shared" ca="1" si="25"/>
        <v>46099</v>
      </c>
      <c r="F255" t="str">
        <f t="shared" ca="1" si="26"/>
        <v>Completed</v>
      </c>
      <c r="G255">
        <f t="shared" ca="1" si="27"/>
        <v>274</v>
      </c>
    </row>
    <row r="256" spans="1:7" x14ac:dyDescent="0.25">
      <c r="A256" t="str">
        <f t="shared" si="21"/>
        <v>A255</v>
      </c>
      <c r="B256" t="str">
        <f t="shared" ca="1" si="22"/>
        <v>P069</v>
      </c>
      <c r="C256" t="str">
        <f t="shared" ca="1" si="23"/>
        <v>Dr. Michael Lee</v>
      </c>
      <c r="D256" t="str">
        <f t="shared" ca="1" si="24"/>
        <v>Emergency Medicine</v>
      </c>
      <c r="E256" s="1">
        <f t="shared" ca="1" si="25"/>
        <v>46087</v>
      </c>
      <c r="F256" t="str">
        <f t="shared" ca="1" si="26"/>
        <v>Completed</v>
      </c>
      <c r="G256">
        <f t="shared" ca="1" si="27"/>
        <v>208</v>
      </c>
    </row>
    <row r="257" spans="1:7" x14ac:dyDescent="0.25">
      <c r="A257" t="str">
        <f t="shared" si="21"/>
        <v>A256</v>
      </c>
      <c r="B257" t="str">
        <f t="shared" ca="1" si="22"/>
        <v>P044</v>
      </c>
      <c r="C257" t="str">
        <f t="shared" ca="1" si="23"/>
        <v>Dr. David Park</v>
      </c>
      <c r="D257" t="str">
        <f t="shared" ca="1" si="24"/>
        <v>Orthopedics</v>
      </c>
      <c r="E257" s="1">
        <f t="shared" ca="1" si="25"/>
        <v>46088</v>
      </c>
      <c r="F257" t="str">
        <f t="shared" ca="1" si="26"/>
        <v>Cancelled</v>
      </c>
      <c r="G257">
        <f t="shared" ca="1" si="27"/>
        <v>226</v>
      </c>
    </row>
    <row r="258" spans="1:7" x14ac:dyDescent="0.25">
      <c r="A258" t="str">
        <f t="shared" si="21"/>
        <v>A257</v>
      </c>
      <c r="B258" t="str">
        <f t="shared" ca="1" si="22"/>
        <v>P025</v>
      </c>
      <c r="C258" t="str">
        <f t="shared" ca="1" si="23"/>
        <v>Dr. David Park</v>
      </c>
      <c r="D258" t="str">
        <f t="shared" ca="1" si="24"/>
        <v>Physical Medicine and Rehabilitation</v>
      </c>
      <c r="E258" s="1">
        <f t="shared" ca="1" si="25"/>
        <v>46098</v>
      </c>
      <c r="F258" t="str">
        <f t="shared" ca="1" si="26"/>
        <v>No-Show</v>
      </c>
      <c r="G258">
        <f t="shared" ca="1" si="27"/>
        <v>159</v>
      </c>
    </row>
    <row r="259" spans="1:7" x14ac:dyDescent="0.25">
      <c r="A259" t="str">
        <f t="shared" ref="A259:A322" si="28">"A"&amp;TEXT(ROW(A258),"000")</f>
        <v>A258</v>
      </c>
      <c r="B259" t="str">
        <f t="shared" ref="B259:B322" ca="1" si="29">"P"&amp;TEXT(RANDBETWEEN(1,100),"000")</f>
        <v>P016</v>
      </c>
      <c r="C259" t="str">
        <f t="shared" ref="C259:C322" ca="1" si="30">CHOOSE(RANDBETWEEN(1,5),"Dr. James Carter","Dr. Emily Watson","Dr. Michael Lee","Dr. Sarah Kim","Dr. David Park")</f>
        <v>Dr. David Park</v>
      </c>
      <c r="D259" t="str">
        <f t="shared" ref="D259:D322" ca="1" si="31">CHOOSE(RANDBETWEEN(1,10),"Cardiology","Dermatology","Neurology","Orthopedics","General Medicine","Emergency Medicine","Oncology","Physical Medicine and Rehabilitation","Pharmacy","Psychiatry and Mental Health")</f>
        <v>Pharmacy</v>
      </c>
      <c r="E259" s="1">
        <f t="shared" ref="E259:E322" ca="1" si="32">DATE(2026,3,RANDBETWEEN(1,30))</f>
        <v>46111</v>
      </c>
      <c r="F259" t="str">
        <f t="shared" ref="F259:F322" ca="1" si="33">CHOOSE(RANDBETWEEN(1,3),"Completed","No-Show","Cancelled")</f>
        <v>Cancelled</v>
      </c>
      <c r="G259">
        <f t="shared" ref="G259:G322" ca="1" si="34">RANDBETWEEN(50,300)</f>
        <v>117</v>
      </c>
    </row>
    <row r="260" spans="1:7" x14ac:dyDescent="0.25">
      <c r="A260" t="str">
        <f t="shared" si="28"/>
        <v>A259</v>
      </c>
      <c r="B260" t="str">
        <f t="shared" ca="1" si="29"/>
        <v>P045</v>
      </c>
      <c r="C260" t="str">
        <f t="shared" ca="1" si="30"/>
        <v>Dr. David Park</v>
      </c>
      <c r="D260" t="str">
        <f t="shared" ca="1" si="31"/>
        <v>General Medicine</v>
      </c>
      <c r="E260" s="1">
        <f t="shared" ca="1" si="32"/>
        <v>46089</v>
      </c>
      <c r="F260" t="str">
        <f t="shared" ca="1" si="33"/>
        <v>Completed</v>
      </c>
      <c r="G260">
        <f t="shared" ca="1" si="34"/>
        <v>150</v>
      </c>
    </row>
    <row r="261" spans="1:7" x14ac:dyDescent="0.25">
      <c r="A261" t="str">
        <f t="shared" si="28"/>
        <v>A260</v>
      </c>
      <c r="B261" t="str">
        <f t="shared" ca="1" si="29"/>
        <v>P060</v>
      </c>
      <c r="C261" t="str">
        <f t="shared" ca="1" si="30"/>
        <v>Dr. Michael Lee</v>
      </c>
      <c r="D261" t="str">
        <f t="shared" ca="1" si="31"/>
        <v>Physical Medicine and Rehabilitation</v>
      </c>
      <c r="E261" s="1">
        <f t="shared" ca="1" si="32"/>
        <v>46092</v>
      </c>
      <c r="F261" t="str">
        <f t="shared" ca="1" si="33"/>
        <v>No-Show</v>
      </c>
      <c r="G261">
        <f t="shared" ca="1" si="34"/>
        <v>280</v>
      </c>
    </row>
    <row r="262" spans="1:7" x14ac:dyDescent="0.25">
      <c r="A262" t="str">
        <f t="shared" si="28"/>
        <v>A261</v>
      </c>
      <c r="B262" t="str">
        <f t="shared" ca="1" si="29"/>
        <v>P097</v>
      </c>
      <c r="C262" t="str">
        <f t="shared" ca="1" si="30"/>
        <v>Dr. David Park</v>
      </c>
      <c r="D262" t="str">
        <f t="shared" ca="1" si="31"/>
        <v>Pharmacy</v>
      </c>
      <c r="E262" s="1">
        <f t="shared" ca="1" si="32"/>
        <v>46107</v>
      </c>
      <c r="F262" t="str">
        <f t="shared" ca="1" si="33"/>
        <v>No-Show</v>
      </c>
      <c r="G262">
        <f t="shared" ca="1" si="34"/>
        <v>286</v>
      </c>
    </row>
    <row r="263" spans="1:7" x14ac:dyDescent="0.25">
      <c r="A263" t="str">
        <f t="shared" si="28"/>
        <v>A262</v>
      </c>
      <c r="B263" t="str">
        <f t="shared" ca="1" si="29"/>
        <v>P001</v>
      </c>
      <c r="C263" t="str">
        <f t="shared" ca="1" si="30"/>
        <v>Dr. David Park</v>
      </c>
      <c r="D263" t="str">
        <f t="shared" ca="1" si="31"/>
        <v>Pharmacy</v>
      </c>
      <c r="E263" s="1">
        <f t="shared" ca="1" si="32"/>
        <v>46086</v>
      </c>
      <c r="F263" t="str">
        <f t="shared" ca="1" si="33"/>
        <v>Cancelled</v>
      </c>
      <c r="G263">
        <f t="shared" ca="1" si="34"/>
        <v>93</v>
      </c>
    </row>
    <row r="264" spans="1:7" x14ac:dyDescent="0.25">
      <c r="A264" t="str">
        <f t="shared" si="28"/>
        <v>A263</v>
      </c>
      <c r="B264" t="str">
        <f t="shared" ca="1" si="29"/>
        <v>P064</v>
      </c>
      <c r="C264" t="str">
        <f t="shared" ca="1" si="30"/>
        <v>Dr. David Park</v>
      </c>
      <c r="D264" t="str">
        <f t="shared" ca="1" si="31"/>
        <v>Dermatology</v>
      </c>
      <c r="E264" s="1">
        <f t="shared" ca="1" si="32"/>
        <v>46091</v>
      </c>
      <c r="F264" t="str">
        <f t="shared" ca="1" si="33"/>
        <v>No-Show</v>
      </c>
      <c r="G264">
        <f t="shared" ca="1" si="34"/>
        <v>105</v>
      </c>
    </row>
    <row r="265" spans="1:7" x14ac:dyDescent="0.25">
      <c r="A265" t="str">
        <f t="shared" si="28"/>
        <v>A264</v>
      </c>
      <c r="B265" t="str">
        <f t="shared" ca="1" si="29"/>
        <v>P099</v>
      </c>
      <c r="C265" t="str">
        <f t="shared" ca="1" si="30"/>
        <v>Dr. David Park</v>
      </c>
      <c r="D265" t="str">
        <f t="shared" ca="1" si="31"/>
        <v>Oncology</v>
      </c>
      <c r="E265" s="1">
        <f t="shared" ca="1" si="32"/>
        <v>46101</v>
      </c>
      <c r="F265" t="str">
        <f t="shared" ca="1" si="33"/>
        <v>Completed</v>
      </c>
      <c r="G265">
        <f t="shared" ca="1" si="34"/>
        <v>76</v>
      </c>
    </row>
    <row r="266" spans="1:7" x14ac:dyDescent="0.25">
      <c r="A266" t="str">
        <f t="shared" si="28"/>
        <v>A265</v>
      </c>
      <c r="B266" t="str">
        <f t="shared" ca="1" si="29"/>
        <v>P063</v>
      </c>
      <c r="C266" t="str">
        <f t="shared" ca="1" si="30"/>
        <v>Dr. Sarah Kim</v>
      </c>
      <c r="D266" t="str">
        <f t="shared" ca="1" si="31"/>
        <v>Neurology</v>
      </c>
      <c r="E266" s="1">
        <f t="shared" ca="1" si="32"/>
        <v>46092</v>
      </c>
      <c r="F266" t="str">
        <f t="shared" ca="1" si="33"/>
        <v>No-Show</v>
      </c>
      <c r="G266">
        <f t="shared" ca="1" si="34"/>
        <v>144</v>
      </c>
    </row>
    <row r="267" spans="1:7" x14ac:dyDescent="0.25">
      <c r="A267" t="str">
        <f t="shared" si="28"/>
        <v>A266</v>
      </c>
      <c r="B267" t="str">
        <f t="shared" ca="1" si="29"/>
        <v>P032</v>
      </c>
      <c r="C267" t="str">
        <f t="shared" ca="1" si="30"/>
        <v>Dr. Michael Lee</v>
      </c>
      <c r="D267" t="str">
        <f t="shared" ca="1" si="31"/>
        <v>Dermatology</v>
      </c>
      <c r="E267" s="1">
        <f t="shared" ca="1" si="32"/>
        <v>46108</v>
      </c>
      <c r="F267" t="str">
        <f t="shared" ca="1" si="33"/>
        <v>Cancelled</v>
      </c>
      <c r="G267">
        <f t="shared" ca="1" si="34"/>
        <v>238</v>
      </c>
    </row>
    <row r="268" spans="1:7" x14ac:dyDescent="0.25">
      <c r="A268" t="str">
        <f t="shared" si="28"/>
        <v>A267</v>
      </c>
      <c r="B268" t="str">
        <f t="shared" ca="1" si="29"/>
        <v>P067</v>
      </c>
      <c r="C268" t="str">
        <f t="shared" ca="1" si="30"/>
        <v>Dr. Sarah Kim</v>
      </c>
      <c r="D268" t="str">
        <f t="shared" ca="1" si="31"/>
        <v>Emergency Medicine</v>
      </c>
      <c r="E268" s="1">
        <f t="shared" ca="1" si="32"/>
        <v>46101</v>
      </c>
      <c r="F268" t="str">
        <f t="shared" ca="1" si="33"/>
        <v>Completed</v>
      </c>
      <c r="G268">
        <f t="shared" ca="1" si="34"/>
        <v>187</v>
      </c>
    </row>
    <row r="269" spans="1:7" x14ac:dyDescent="0.25">
      <c r="A269" t="str">
        <f t="shared" si="28"/>
        <v>A268</v>
      </c>
      <c r="B269" t="str">
        <f t="shared" ca="1" si="29"/>
        <v>P003</v>
      </c>
      <c r="C269" t="str">
        <f t="shared" ca="1" si="30"/>
        <v>Dr. David Park</v>
      </c>
      <c r="D269" t="str">
        <f t="shared" ca="1" si="31"/>
        <v>Oncology</v>
      </c>
      <c r="E269" s="1">
        <f t="shared" ca="1" si="32"/>
        <v>46109</v>
      </c>
      <c r="F269" t="str">
        <f t="shared" ca="1" si="33"/>
        <v>Completed</v>
      </c>
      <c r="G269">
        <f t="shared" ca="1" si="34"/>
        <v>162</v>
      </c>
    </row>
    <row r="270" spans="1:7" x14ac:dyDescent="0.25">
      <c r="A270" t="str">
        <f t="shared" si="28"/>
        <v>A269</v>
      </c>
      <c r="B270" t="str">
        <f t="shared" ca="1" si="29"/>
        <v>P095</v>
      </c>
      <c r="C270" t="str">
        <f t="shared" ca="1" si="30"/>
        <v>Dr. Emily Watson</v>
      </c>
      <c r="D270" t="str">
        <f t="shared" ca="1" si="31"/>
        <v>Oncology</v>
      </c>
      <c r="E270" s="1">
        <f t="shared" ca="1" si="32"/>
        <v>46111</v>
      </c>
      <c r="F270" t="str">
        <f t="shared" ca="1" si="33"/>
        <v>Cancelled</v>
      </c>
      <c r="G270">
        <f t="shared" ca="1" si="34"/>
        <v>156</v>
      </c>
    </row>
    <row r="271" spans="1:7" x14ac:dyDescent="0.25">
      <c r="A271" t="str">
        <f t="shared" si="28"/>
        <v>A270</v>
      </c>
      <c r="B271" t="str">
        <f t="shared" ca="1" si="29"/>
        <v>P075</v>
      </c>
      <c r="C271" t="str">
        <f t="shared" ca="1" si="30"/>
        <v>Dr. James Carter</v>
      </c>
      <c r="D271" t="str">
        <f t="shared" ca="1" si="31"/>
        <v>Physical Medicine and Rehabilitation</v>
      </c>
      <c r="E271" s="1">
        <f t="shared" ca="1" si="32"/>
        <v>46106</v>
      </c>
      <c r="F271" t="str">
        <f t="shared" ca="1" si="33"/>
        <v>Cancelled</v>
      </c>
      <c r="G271">
        <f t="shared" ca="1" si="34"/>
        <v>72</v>
      </c>
    </row>
    <row r="272" spans="1:7" x14ac:dyDescent="0.25">
      <c r="A272" t="str">
        <f t="shared" si="28"/>
        <v>A271</v>
      </c>
      <c r="B272" t="str">
        <f t="shared" ca="1" si="29"/>
        <v>P014</v>
      </c>
      <c r="C272" t="str">
        <f t="shared" ca="1" si="30"/>
        <v>Dr. Sarah Kim</v>
      </c>
      <c r="D272" t="str">
        <f t="shared" ca="1" si="31"/>
        <v>Orthopedics</v>
      </c>
      <c r="E272" s="1">
        <f t="shared" ca="1" si="32"/>
        <v>46083</v>
      </c>
      <c r="F272" t="str">
        <f t="shared" ca="1" si="33"/>
        <v>Completed</v>
      </c>
      <c r="G272">
        <f t="shared" ca="1" si="34"/>
        <v>167</v>
      </c>
    </row>
    <row r="273" spans="1:7" x14ac:dyDescent="0.25">
      <c r="A273" t="str">
        <f t="shared" si="28"/>
        <v>A272</v>
      </c>
      <c r="B273" t="str">
        <f t="shared" ca="1" si="29"/>
        <v>P093</v>
      </c>
      <c r="C273" t="str">
        <f t="shared" ca="1" si="30"/>
        <v>Dr. James Carter</v>
      </c>
      <c r="D273" t="str">
        <f t="shared" ca="1" si="31"/>
        <v>Physical Medicine and Rehabilitation</v>
      </c>
      <c r="E273" s="1">
        <f t="shared" ca="1" si="32"/>
        <v>46106</v>
      </c>
      <c r="F273" t="str">
        <f t="shared" ca="1" si="33"/>
        <v>No-Show</v>
      </c>
      <c r="G273">
        <f t="shared" ca="1" si="34"/>
        <v>247</v>
      </c>
    </row>
    <row r="274" spans="1:7" x14ac:dyDescent="0.25">
      <c r="A274" t="str">
        <f t="shared" si="28"/>
        <v>A273</v>
      </c>
      <c r="B274" t="str">
        <f t="shared" ca="1" si="29"/>
        <v>P094</v>
      </c>
      <c r="C274" t="str">
        <f t="shared" ca="1" si="30"/>
        <v>Dr. Emily Watson</v>
      </c>
      <c r="D274" t="str">
        <f t="shared" ca="1" si="31"/>
        <v>Emergency Medicine</v>
      </c>
      <c r="E274" s="1">
        <f t="shared" ca="1" si="32"/>
        <v>46100</v>
      </c>
      <c r="F274" t="str">
        <f t="shared" ca="1" si="33"/>
        <v>Completed</v>
      </c>
      <c r="G274">
        <f t="shared" ca="1" si="34"/>
        <v>222</v>
      </c>
    </row>
    <row r="275" spans="1:7" x14ac:dyDescent="0.25">
      <c r="A275" t="str">
        <f t="shared" si="28"/>
        <v>A274</v>
      </c>
      <c r="B275" t="str">
        <f t="shared" ca="1" si="29"/>
        <v>P030</v>
      </c>
      <c r="C275" t="str">
        <f t="shared" ca="1" si="30"/>
        <v>Dr. Emily Watson</v>
      </c>
      <c r="D275" t="str">
        <f t="shared" ca="1" si="31"/>
        <v>Oncology</v>
      </c>
      <c r="E275" s="1">
        <f t="shared" ca="1" si="32"/>
        <v>46084</v>
      </c>
      <c r="F275" t="str">
        <f t="shared" ca="1" si="33"/>
        <v>No-Show</v>
      </c>
      <c r="G275">
        <f t="shared" ca="1" si="34"/>
        <v>77</v>
      </c>
    </row>
    <row r="276" spans="1:7" x14ac:dyDescent="0.25">
      <c r="A276" t="str">
        <f t="shared" si="28"/>
        <v>A275</v>
      </c>
      <c r="B276" t="str">
        <f t="shared" ca="1" si="29"/>
        <v>P055</v>
      </c>
      <c r="C276" t="str">
        <f t="shared" ca="1" si="30"/>
        <v>Dr. Sarah Kim</v>
      </c>
      <c r="D276" t="str">
        <f t="shared" ca="1" si="31"/>
        <v>Emergency Medicine</v>
      </c>
      <c r="E276" s="1">
        <f t="shared" ca="1" si="32"/>
        <v>46085</v>
      </c>
      <c r="F276" t="str">
        <f t="shared" ca="1" si="33"/>
        <v>Cancelled</v>
      </c>
      <c r="G276">
        <f t="shared" ca="1" si="34"/>
        <v>116</v>
      </c>
    </row>
    <row r="277" spans="1:7" x14ac:dyDescent="0.25">
      <c r="A277" t="str">
        <f t="shared" si="28"/>
        <v>A276</v>
      </c>
      <c r="B277" t="str">
        <f t="shared" ca="1" si="29"/>
        <v>P058</v>
      </c>
      <c r="C277" t="str">
        <f t="shared" ca="1" si="30"/>
        <v>Dr. James Carter</v>
      </c>
      <c r="D277" t="str">
        <f t="shared" ca="1" si="31"/>
        <v>Psychiatry and Mental Health</v>
      </c>
      <c r="E277" s="1">
        <f t="shared" ca="1" si="32"/>
        <v>46082</v>
      </c>
      <c r="F277" t="str">
        <f t="shared" ca="1" si="33"/>
        <v>Cancelled</v>
      </c>
      <c r="G277">
        <f t="shared" ca="1" si="34"/>
        <v>175</v>
      </c>
    </row>
    <row r="278" spans="1:7" x14ac:dyDescent="0.25">
      <c r="A278" t="str">
        <f t="shared" si="28"/>
        <v>A277</v>
      </c>
      <c r="B278" t="str">
        <f t="shared" ca="1" si="29"/>
        <v>P091</v>
      </c>
      <c r="C278" t="str">
        <f t="shared" ca="1" si="30"/>
        <v>Dr. David Park</v>
      </c>
      <c r="D278" t="str">
        <f t="shared" ca="1" si="31"/>
        <v>Psychiatry and Mental Health</v>
      </c>
      <c r="E278" s="1">
        <f t="shared" ca="1" si="32"/>
        <v>46085</v>
      </c>
      <c r="F278" t="str">
        <f t="shared" ca="1" si="33"/>
        <v>Completed</v>
      </c>
      <c r="G278">
        <f t="shared" ca="1" si="34"/>
        <v>216</v>
      </c>
    </row>
    <row r="279" spans="1:7" x14ac:dyDescent="0.25">
      <c r="A279" t="str">
        <f t="shared" si="28"/>
        <v>A278</v>
      </c>
      <c r="B279" t="str">
        <f t="shared" ca="1" si="29"/>
        <v>P060</v>
      </c>
      <c r="C279" t="str">
        <f t="shared" ca="1" si="30"/>
        <v>Dr. Michael Lee</v>
      </c>
      <c r="D279" t="str">
        <f t="shared" ca="1" si="31"/>
        <v>Pharmacy</v>
      </c>
      <c r="E279" s="1">
        <f t="shared" ca="1" si="32"/>
        <v>46094</v>
      </c>
      <c r="F279" t="str">
        <f t="shared" ca="1" si="33"/>
        <v>Completed</v>
      </c>
      <c r="G279">
        <f t="shared" ca="1" si="34"/>
        <v>169</v>
      </c>
    </row>
    <row r="280" spans="1:7" x14ac:dyDescent="0.25">
      <c r="A280" t="str">
        <f t="shared" si="28"/>
        <v>A279</v>
      </c>
      <c r="B280" t="str">
        <f t="shared" ca="1" si="29"/>
        <v>P042</v>
      </c>
      <c r="C280" t="str">
        <f t="shared" ca="1" si="30"/>
        <v>Dr. Emily Watson</v>
      </c>
      <c r="D280" t="str">
        <f t="shared" ca="1" si="31"/>
        <v>Dermatology</v>
      </c>
      <c r="E280" s="1">
        <f t="shared" ca="1" si="32"/>
        <v>46099</v>
      </c>
      <c r="F280" t="str">
        <f t="shared" ca="1" si="33"/>
        <v>Cancelled</v>
      </c>
      <c r="G280">
        <f t="shared" ca="1" si="34"/>
        <v>272</v>
      </c>
    </row>
    <row r="281" spans="1:7" x14ac:dyDescent="0.25">
      <c r="A281" t="str">
        <f t="shared" si="28"/>
        <v>A280</v>
      </c>
      <c r="B281" t="str">
        <f t="shared" ca="1" si="29"/>
        <v>P068</v>
      </c>
      <c r="C281" t="str">
        <f t="shared" ca="1" si="30"/>
        <v>Dr. Sarah Kim</v>
      </c>
      <c r="D281" t="str">
        <f t="shared" ca="1" si="31"/>
        <v>Physical Medicine and Rehabilitation</v>
      </c>
      <c r="E281" s="1">
        <f t="shared" ca="1" si="32"/>
        <v>46090</v>
      </c>
      <c r="F281" t="str">
        <f t="shared" ca="1" si="33"/>
        <v>Completed</v>
      </c>
      <c r="G281">
        <f t="shared" ca="1" si="34"/>
        <v>275</v>
      </c>
    </row>
    <row r="282" spans="1:7" x14ac:dyDescent="0.25">
      <c r="A282" t="str">
        <f t="shared" si="28"/>
        <v>A281</v>
      </c>
      <c r="B282" t="str">
        <f t="shared" ca="1" si="29"/>
        <v>P040</v>
      </c>
      <c r="C282" t="str">
        <f t="shared" ca="1" si="30"/>
        <v>Dr. Emily Watson</v>
      </c>
      <c r="D282" t="str">
        <f t="shared" ca="1" si="31"/>
        <v>Neurology</v>
      </c>
      <c r="E282" s="1">
        <f t="shared" ca="1" si="32"/>
        <v>46084</v>
      </c>
      <c r="F282" t="str">
        <f t="shared" ca="1" si="33"/>
        <v>No-Show</v>
      </c>
      <c r="G282">
        <f t="shared" ca="1" si="34"/>
        <v>241</v>
      </c>
    </row>
    <row r="283" spans="1:7" x14ac:dyDescent="0.25">
      <c r="A283" t="str">
        <f t="shared" si="28"/>
        <v>A282</v>
      </c>
      <c r="B283" t="str">
        <f t="shared" ca="1" si="29"/>
        <v>P042</v>
      </c>
      <c r="C283" t="str">
        <f t="shared" ca="1" si="30"/>
        <v>Dr. Sarah Kim</v>
      </c>
      <c r="D283" t="str">
        <f t="shared" ca="1" si="31"/>
        <v>Oncology</v>
      </c>
      <c r="E283" s="1">
        <f t="shared" ca="1" si="32"/>
        <v>46098</v>
      </c>
      <c r="F283" t="str">
        <f t="shared" ca="1" si="33"/>
        <v>No-Show</v>
      </c>
      <c r="G283">
        <f t="shared" ca="1" si="34"/>
        <v>174</v>
      </c>
    </row>
    <row r="284" spans="1:7" x14ac:dyDescent="0.25">
      <c r="A284" t="str">
        <f t="shared" si="28"/>
        <v>A283</v>
      </c>
      <c r="B284" t="str">
        <f t="shared" ca="1" si="29"/>
        <v>P012</v>
      </c>
      <c r="C284" t="str">
        <f t="shared" ca="1" si="30"/>
        <v>Dr. James Carter</v>
      </c>
      <c r="D284" t="str">
        <f t="shared" ca="1" si="31"/>
        <v>Emergency Medicine</v>
      </c>
      <c r="E284" s="1">
        <f t="shared" ca="1" si="32"/>
        <v>46082</v>
      </c>
      <c r="F284" t="str">
        <f t="shared" ca="1" si="33"/>
        <v>Completed</v>
      </c>
      <c r="G284">
        <f t="shared" ca="1" si="34"/>
        <v>103</v>
      </c>
    </row>
    <row r="285" spans="1:7" x14ac:dyDescent="0.25">
      <c r="A285" t="str">
        <f t="shared" si="28"/>
        <v>A284</v>
      </c>
      <c r="B285" t="str">
        <f t="shared" ca="1" si="29"/>
        <v>P039</v>
      </c>
      <c r="C285" t="str">
        <f t="shared" ca="1" si="30"/>
        <v>Dr. Sarah Kim</v>
      </c>
      <c r="D285" t="str">
        <f t="shared" ca="1" si="31"/>
        <v>Psychiatry and Mental Health</v>
      </c>
      <c r="E285" s="1">
        <f t="shared" ca="1" si="32"/>
        <v>46083</v>
      </c>
      <c r="F285" t="str">
        <f t="shared" ca="1" si="33"/>
        <v>Completed</v>
      </c>
      <c r="G285">
        <f t="shared" ca="1" si="34"/>
        <v>225</v>
      </c>
    </row>
    <row r="286" spans="1:7" x14ac:dyDescent="0.25">
      <c r="A286" t="str">
        <f t="shared" si="28"/>
        <v>A285</v>
      </c>
      <c r="B286" t="str">
        <f t="shared" ca="1" si="29"/>
        <v>P024</v>
      </c>
      <c r="C286" t="str">
        <f t="shared" ca="1" si="30"/>
        <v>Dr. Emily Watson</v>
      </c>
      <c r="D286" t="str">
        <f t="shared" ca="1" si="31"/>
        <v>Dermatology</v>
      </c>
      <c r="E286" s="1">
        <f t="shared" ca="1" si="32"/>
        <v>46097</v>
      </c>
      <c r="F286" t="str">
        <f t="shared" ca="1" si="33"/>
        <v>Cancelled</v>
      </c>
      <c r="G286">
        <f t="shared" ca="1" si="34"/>
        <v>146</v>
      </c>
    </row>
    <row r="287" spans="1:7" x14ac:dyDescent="0.25">
      <c r="A287" t="str">
        <f t="shared" si="28"/>
        <v>A286</v>
      </c>
      <c r="B287" t="str">
        <f t="shared" ca="1" si="29"/>
        <v>P010</v>
      </c>
      <c r="C287" t="str">
        <f t="shared" ca="1" si="30"/>
        <v>Dr. Sarah Kim</v>
      </c>
      <c r="D287" t="str">
        <f t="shared" ca="1" si="31"/>
        <v>General Medicine</v>
      </c>
      <c r="E287" s="1">
        <f t="shared" ca="1" si="32"/>
        <v>46100</v>
      </c>
      <c r="F287" t="str">
        <f t="shared" ca="1" si="33"/>
        <v>No-Show</v>
      </c>
      <c r="G287">
        <f t="shared" ca="1" si="34"/>
        <v>258</v>
      </c>
    </row>
    <row r="288" spans="1:7" x14ac:dyDescent="0.25">
      <c r="A288" t="str">
        <f t="shared" si="28"/>
        <v>A287</v>
      </c>
      <c r="B288" t="str">
        <f t="shared" ca="1" si="29"/>
        <v>P073</v>
      </c>
      <c r="C288" t="str">
        <f t="shared" ca="1" si="30"/>
        <v>Dr. David Park</v>
      </c>
      <c r="D288" t="str">
        <f t="shared" ca="1" si="31"/>
        <v>Dermatology</v>
      </c>
      <c r="E288" s="1">
        <f t="shared" ca="1" si="32"/>
        <v>46099</v>
      </c>
      <c r="F288" t="str">
        <f t="shared" ca="1" si="33"/>
        <v>Cancelled</v>
      </c>
      <c r="G288">
        <f t="shared" ca="1" si="34"/>
        <v>272</v>
      </c>
    </row>
    <row r="289" spans="1:7" x14ac:dyDescent="0.25">
      <c r="A289" t="str">
        <f t="shared" si="28"/>
        <v>A288</v>
      </c>
      <c r="B289" t="str">
        <f t="shared" ca="1" si="29"/>
        <v>P020</v>
      </c>
      <c r="C289" t="str">
        <f t="shared" ca="1" si="30"/>
        <v>Dr. Sarah Kim</v>
      </c>
      <c r="D289" t="str">
        <f t="shared" ca="1" si="31"/>
        <v>Oncology</v>
      </c>
      <c r="E289" s="1">
        <f t="shared" ca="1" si="32"/>
        <v>46108</v>
      </c>
      <c r="F289" t="str">
        <f t="shared" ca="1" si="33"/>
        <v>Completed</v>
      </c>
      <c r="G289">
        <f t="shared" ca="1" si="34"/>
        <v>129</v>
      </c>
    </row>
    <row r="290" spans="1:7" x14ac:dyDescent="0.25">
      <c r="A290" t="str">
        <f t="shared" si="28"/>
        <v>A289</v>
      </c>
      <c r="B290" t="str">
        <f t="shared" ca="1" si="29"/>
        <v>P088</v>
      </c>
      <c r="C290" t="str">
        <f t="shared" ca="1" si="30"/>
        <v>Dr. Emily Watson</v>
      </c>
      <c r="D290" t="str">
        <f t="shared" ca="1" si="31"/>
        <v>Neurology</v>
      </c>
      <c r="E290" s="1">
        <f t="shared" ca="1" si="32"/>
        <v>46084</v>
      </c>
      <c r="F290" t="str">
        <f t="shared" ca="1" si="33"/>
        <v>Cancelled</v>
      </c>
      <c r="G290">
        <f t="shared" ca="1" si="34"/>
        <v>248</v>
      </c>
    </row>
    <row r="291" spans="1:7" x14ac:dyDescent="0.25">
      <c r="A291" t="str">
        <f t="shared" si="28"/>
        <v>A290</v>
      </c>
      <c r="B291" t="str">
        <f t="shared" ca="1" si="29"/>
        <v>P007</v>
      </c>
      <c r="C291" t="str">
        <f t="shared" ca="1" si="30"/>
        <v>Dr. Sarah Kim</v>
      </c>
      <c r="D291" t="str">
        <f t="shared" ca="1" si="31"/>
        <v>Physical Medicine and Rehabilitation</v>
      </c>
      <c r="E291" s="1">
        <f t="shared" ca="1" si="32"/>
        <v>46095</v>
      </c>
      <c r="F291" t="str">
        <f t="shared" ca="1" si="33"/>
        <v>No-Show</v>
      </c>
      <c r="G291">
        <f t="shared" ca="1" si="34"/>
        <v>253</v>
      </c>
    </row>
    <row r="292" spans="1:7" x14ac:dyDescent="0.25">
      <c r="A292" t="str">
        <f t="shared" si="28"/>
        <v>A291</v>
      </c>
      <c r="B292" t="str">
        <f t="shared" ca="1" si="29"/>
        <v>P045</v>
      </c>
      <c r="C292" t="str">
        <f t="shared" ca="1" si="30"/>
        <v>Dr. Sarah Kim</v>
      </c>
      <c r="D292" t="str">
        <f t="shared" ca="1" si="31"/>
        <v>Physical Medicine and Rehabilitation</v>
      </c>
      <c r="E292" s="1">
        <f t="shared" ca="1" si="32"/>
        <v>46082</v>
      </c>
      <c r="F292" t="str">
        <f t="shared" ca="1" si="33"/>
        <v>Cancelled</v>
      </c>
      <c r="G292">
        <f t="shared" ca="1" si="34"/>
        <v>55</v>
      </c>
    </row>
    <row r="293" spans="1:7" x14ac:dyDescent="0.25">
      <c r="A293" t="str">
        <f t="shared" si="28"/>
        <v>A292</v>
      </c>
      <c r="B293" t="str">
        <f t="shared" ca="1" si="29"/>
        <v>P027</v>
      </c>
      <c r="C293" t="str">
        <f t="shared" ca="1" si="30"/>
        <v>Dr. James Carter</v>
      </c>
      <c r="D293" t="str">
        <f t="shared" ca="1" si="31"/>
        <v>Orthopedics</v>
      </c>
      <c r="E293" s="1">
        <f t="shared" ca="1" si="32"/>
        <v>46103</v>
      </c>
      <c r="F293" t="str">
        <f t="shared" ca="1" si="33"/>
        <v>Cancelled</v>
      </c>
      <c r="G293">
        <f t="shared" ca="1" si="34"/>
        <v>231</v>
      </c>
    </row>
    <row r="294" spans="1:7" x14ac:dyDescent="0.25">
      <c r="A294" t="str">
        <f t="shared" si="28"/>
        <v>A293</v>
      </c>
      <c r="B294" t="str">
        <f t="shared" ca="1" si="29"/>
        <v>P084</v>
      </c>
      <c r="C294" t="str">
        <f t="shared" ca="1" si="30"/>
        <v>Dr. Sarah Kim</v>
      </c>
      <c r="D294" t="str">
        <f t="shared" ca="1" si="31"/>
        <v>Physical Medicine and Rehabilitation</v>
      </c>
      <c r="E294" s="1">
        <f t="shared" ca="1" si="32"/>
        <v>46099</v>
      </c>
      <c r="F294" t="str">
        <f t="shared" ca="1" si="33"/>
        <v>No-Show</v>
      </c>
      <c r="G294">
        <f t="shared" ca="1" si="34"/>
        <v>248</v>
      </c>
    </row>
    <row r="295" spans="1:7" x14ac:dyDescent="0.25">
      <c r="A295" t="str">
        <f t="shared" si="28"/>
        <v>A294</v>
      </c>
      <c r="B295" t="str">
        <f t="shared" ca="1" si="29"/>
        <v>P051</v>
      </c>
      <c r="C295" t="str">
        <f t="shared" ca="1" si="30"/>
        <v>Dr. Michael Lee</v>
      </c>
      <c r="D295" t="str">
        <f t="shared" ca="1" si="31"/>
        <v>Emergency Medicine</v>
      </c>
      <c r="E295" s="1">
        <f t="shared" ca="1" si="32"/>
        <v>46088</v>
      </c>
      <c r="F295" t="str">
        <f t="shared" ca="1" si="33"/>
        <v>Completed</v>
      </c>
      <c r="G295">
        <f t="shared" ca="1" si="34"/>
        <v>295</v>
      </c>
    </row>
    <row r="296" spans="1:7" x14ac:dyDescent="0.25">
      <c r="A296" t="str">
        <f t="shared" si="28"/>
        <v>A295</v>
      </c>
      <c r="B296" t="str">
        <f t="shared" ca="1" si="29"/>
        <v>P088</v>
      </c>
      <c r="C296" t="str">
        <f t="shared" ca="1" si="30"/>
        <v>Dr. David Park</v>
      </c>
      <c r="D296" t="str">
        <f t="shared" ca="1" si="31"/>
        <v>Orthopedics</v>
      </c>
      <c r="E296" s="1">
        <f t="shared" ca="1" si="32"/>
        <v>46089</v>
      </c>
      <c r="F296" t="str">
        <f t="shared" ca="1" si="33"/>
        <v>No-Show</v>
      </c>
      <c r="G296">
        <f t="shared" ca="1" si="34"/>
        <v>81</v>
      </c>
    </row>
    <row r="297" spans="1:7" x14ac:dyDescent="0.25">
      <c r="A297" t="str">
        <f t="shared" si="28"/>
        <v>A296</v>
      </c>
      <c r="B297" t="str">
        <f t="shared" ca="1" si="29"/>
        <v>P034</v>
      </c>
      <c r="C297" t="str">
        <f t="shared" ca="1" si="30"/>
        <v>Dr. Sarah Kim</v>
      </c>
      <c r="D297" t="str">
        <f t="shared" ca="1" si="31"/>
        <v>Oncology</v>
      </c>
      <c r="E297" s="1">
        <f t="shared" ca="1" si="32"/>
        <v>46108</v>
      </c>
      <c r="F297" t="str">
        <f t="shared" ca="1" si="33"/>
        <v>Completed</v>
      </c>
      <c r="G297">
        <f t="shared" ca="1" si="34"/>
        <v>183</v>
      </c>
    </row>
    <row r="298" spans="1:7" x14ac:dyDescent="0.25">
      <c r="A298" t="str">
        <f t="shared" si="28"/>
        <v>A297</v>
      </c>
      <c r="B298" t="str">
        <f t="shared" ca="1" si="29"/>
        <v>P030</v>
      </c>
      <c r="C298" t="str">
        <f t="shared" ca="1" si="30"/>
        <v>Dr. Emily Watson</v>
      </c>
      <c r="D298" t="str">
        <f t="shared" ca="1" si="31"/>
        <v>Pharmacy</v>
      </c>
      <c r="E298" s="1">
        <f t="shared" ca="1" si="32"/>
        <v>46100</v>
      </c>
      <c r="F298" t="str">
        <f t="shared" ca="1" si="33"/>
        <v>Completed</v>
      </c>
      <c r="G298">
        <f t="shared" ca="1" si="34"/>
        <v>139</v>
      </c>
    </row>
    <row r="299" spans="1:7" x14ac:dyDescent="0.25">
      <c r="A299" t="str">
        <f t="shared" si="28"/>
        <v>A298</v>
      </c>
      <c r="B299" t="str">
        <f t="shared" ca="1" si="29"/>
        <v>P093</v>
      </c>
      <c r="C299" t="str">
        <f t="shared" ca="1" si="30"/>
        <v>Dr. Michael Lee</v>
      </c>
      <c r="D299" t="str">
        <f t="shared" ca="1" si="31"/>
        <v>Cardiology</v>
      </c>
      <c r="E299" s="1">
        <f t="shared" ca="1" si="32"/>
        <v>46107</v>
      </c>
      <c r="F299" t="str">
        <f t="shared" ca="1" si="33"/>
        <v>Completed</v>
      </c>
      <c r="G299">
        <f t="shared" ca="1" si="34"/>
        <v>168</v>
      </c>
    </row>
    <row r="300" spans="1:7" x14ac:dyDescent="0.25">
      <c r="A300" t="str">
        <f t="shared" si="28"/>
        <v>A299</v>
      </c>
      <c r="B300" t="str">
        <f t="shared" ca="1" si="29"/>
        <v>P089</v>
      </c>
      <c r="C300" t="str">
        <f t="shared" ca="1" si="30"/>
        <v>Dr. Michael Lee</v>
      </c>
      <c r="D300" t="str">
        <f t="shared" ca="1" si="31"/>
        <v>Dermatology</v>
      </c>
      <c r="E300" s="1">
        <f t="shared" ca="1" si="32"/>
        <v>46094</v>
      </c>
      <c r="F300" t="str">
        <f t="shared" ca="1" si="33"/>
        <v>No-Show</v>
      </c>
      <c r="G300">
        <f t="shared" ca="1" si="34"/>
        <v>115</v>
      </c>
    </row>
    <row r="301" spans="1:7" x14ac:dyDescent="0.25">
      <c r="A301" t="str">
        <f t="shared" si="28"/>
        <v>A300</v>
      </c>
      <c r="B301" t="str">
        <f t="shared" ca="1" si="29"/>
        <v>P063</v>
      </c>
      <c r="C301" t="str">
        <f t="shared" ca="1" si="30"/>
        <v>Dr. Sarah Kim</v>
      </c>
      <c r="D301" t="str">
        <f t="shared" ca="1" si="31"/>
        <v>General Medicine</v>
      </c>
      <c r="E301" s="1">
        <f t="shared" ca="1" si="32"/>
        <v>46106</v>
      </c>
      <c r="F301" t="str">
        <f t="shared" ca="1" si="33"/>
        <v>Completed</v>
      </c>
      <c r="G301">
        <f t="shared" ca="1" si="34"/>
        <v>130</v>
      </c>
    </row>
    <row r="302" spans="1:7" x14ac:dyDescent="0.25">
      <c r="A302" t="str">
        <f t="shared" si="28"/>
        <v>A301</v>
      </c>
      <c r="B302" t="str">
        <f t="shared" ca="1" si="29"/>
        <v>P047</v>
      </c>
      <c r="C302" t="str">
        <f t="shared" ca="1" si="30"/>
        <v>Dr. Michael Lee</v>
      </c>
      <c r="D302" t="str">
        <f t="shared" ca="1" si="31"/>
        <v>Dermatology</v>
      </c>
      <c r="E302" s="1">
        <f t="shared" ca="1" si="32"/>
        <v>46097</v>
      </c>
      <c r="F302" t="str">
        <f t="shared" ca="1" si="33"/>
        <v>Completed</v>
      </c>
      <c r="G302">
        <f t="shared" ca="1" si="34"/>
        <v>70</v>
      </c>
    </row>
    <row r="303" spans="1:7" x14ac:dyDescent="0.25">
      <c r="A303" t="str">
        <f t="shared" si="28"/>
        <v>A302</v>
      </c>
      <c r="B303" t="str">
        <f t="shared" ca="1" si="29"/>
        <v>P011</v>
      </c>
      <c r="C303" t="str">
        <f t="shared" ca="1" si="30"/>
        <v>Dr. Michael Lee</v>
      </c>
      <c r="D303" t="str">
        <f t="shared" ca="1" si="31"/>
        <v>Oncology</v>
      </c>
      <c r="E303" s="1">
        <f t="shared" ca="1" si="32"/>
        <v>46109</v>
      </c>
      <c r="F303" t="str">
        <f t="shared" ca="1" si="33"/>
        <v>Completed</v>
      </c>
      <c r="G303">
        <f t="shared" ca="1" si="34"/>
        <v>138</v>
      </c>
    </row>
    <row r="304" spans="1:7" x14ac:dyDescent="0.25">
      <c r="A304" t="str">
        <f t="shared" si="28"/>
        <v>A303</v>
      </c>
      <c r="B304" t="str">
        <f t="shared" ca="1" si="29"/>
        <v>P029</v>
      </c>
      <c r="C304" t="str">
        <f t="shared" ca="1" si="30"/>
        <v>Dr. James Carter</v>
      </c>
      <c r="D304" t="str">
        <f t="shared" ca="1" si="31"/>
        <v>General Medicine</v>
      </c>
      <c r="E304" s="1">
        <f t="shared" ca="1" si="32"/>
        <v>46087</v>
      </c>
      <c r="F304" t="str">
        <f t="shared" ca="1" si="33"/>
        <v>Completed</v>
      </c>
      <c r="G304">
        <f t="shared" ca="1" si="34"/>
        <v>148</v>
      </c>
    </row>
    <row r="305" spans="1:7" x14ac:dyDescent="0.25">
      <c r="A305" t="str">
        <f t="shared" si="28"/>
        <v>A304</v>
      </c>
      <c r="B305" t="str">
        <f t="shared" ca="1" si="29"/>
        <v>P050</v>
      </c>
      <c r="C305" t="str">
        <f t="shared" ca="1" si="30"/>
        <v>Dr. David Park</v>
      </c>
      <c r="D305" t="str">
        <f t="shared" ca="1" si="31"/>
        <v>Neurology</v>
      </c>
      <c r="E305" s="1">
        <f t="shared" ca="1" si="32"/>
        <v>46097</v>
      </c>
      <c r="F305" t="str">
        <f t="shared" ca="1" si="33"/>
        <v>Cancelled</v>
      </c>
      <c r="G305">
        <f t="shared" ca="1" si="34"/>
        <v>168</v>
      </c>
    </row>
    <row r="306" spans="1:7" x14ac:dyDescent="0.25">
      <c r="A306" t="str">
        <f t="shared" si="28"/>
        <v>A305</v>
      </c>
      <c r="B306" t="str">
        <f t="shared" ca="1" si="29"/>
        <v>P100</v>
      </c>
      <c r="C306" t="str">
        <f t="shared" ca="1" si="30"/>
        <v>Dr. David Park</v>
      </c>
      <c r="D306" t="str">
        <f t="shared" ca="1" si="31"/>
        <v>Oncology</v>
      </c>
      <c r="E306" s="1">
        <f t="shared" ca="1" si="32"/>
        <v>46082</v>
      </c>
      <c r="F306" t="str">
        <f t="shared" ca="1" si="33"/>
        <v>Completed</v>
      </c>
      <c r="G306">
        <f t="shared" ca="1" si="34"/>
        <v>117</v>
      </c>
    </row>
    <row r="307" spans="1:7" x14ac:dyDescent="0.25">
      <c r="A307" t="str">
        <f t="shared" si="28"/>
        <v>A306</v>
      </c>
      <c r="B307" t="str">
        <f t="shared" ca="1" si="29"/>
        <v>P018</v>
      </c>
      <c r="C307" t="str">
        <f t="shared" ca="1" si="30"/>
        <v>Dr. David Park</v>
      </c>
      <c r="D307" t="str">
        <f t="shared" ca="1" si="31"/>
        <v>General Medicine</v>
      </c>
      <c r="E307" s="1">
        <f t="shared" ca="1" si="32"/>
        <v>46109</v>
      </c>
      <c r="F307" t="str">
        <f t="shared" ca="1" si="33"/>
        <v>Completed</v>
      </c>
      <c r="G307">
        <f t="shared" ca="1" si="34"/>
        <v>183</v>
      </c>
    </row>
    <row r="308" spans="1:7" x14ac:dyDescent="0.25">
      <c r="A308" t="str">
        <f t="shared" si="28"/>
        <v>A307</v>
      </c>
      <c r="B308" t="str">
        <f t="shared" ca="1" si="29"/>
        <v>P046</v>
      </c>
      <c r="C308" t="str">
        <f t="shared" ca="1" si="30"/>
        <v>Dr. Sarah Kim</v>
      </c>
      <c r="D308" t="str">
        <f t="shared" ca="1" si="31"/>
        <v>Psychiatry and Mental Health</v>
      </c>
      <c r="E308" s="1">
        <f t="shared" ca="1" si="32"/>
        <v>46084</v>
      </c>
      <c r="F308" t="str">
        <f t="shared" ca="1" si="33"/>
        <v>No-Show</v>
      </c>
      <c r="G308">
        <f t="shared" ca="1" si="34"/>
        <v>149</v>
      </c>
    </row>
    <row r="309" spans="1:7" x14ac:dyDescent="0.25">
      <c r="A309" t="str">
        <f t="shared" si="28"/>
        <v>A308</v>
      </c>
      <c r="B309" t="str">
        <f t="shared" ca="1" si="29"/>
        <v>P021</v>
      </c>
      <c r="C309" t="str">
        <f t="shared" ca="1" si="30"/>
        <v>Dr. Sarah Kim</v>
      </c>
      <c r="D309" t="str">
        <f t="shared" ca="1" si="31"/>
        <v>Orthopedics</v>
      </c>
      <c r="E309" s="1">
        <f t="shared" ca="1" si="32"/>
        <v>46090</v>
      </c>
      <c r="F309" t="str">
        <f t="shared" ca="1" si="33"/>
        <v>Cancelled</v>
      </c>
      <c r="G309">
        <f t="shared" ca="1" si="34"/>
        <v>125</v>
      </c>
    </row>
    <row r="310" spans="1:7" x14ac:dyDescent="0.25">
      <c r="A310" t="str">
        <f t="shared" si="28"/>
        <v>A309</v>
      </c>
      <c r="B310" t="str">
        <f t="shared" ca="1" si="29"/>
        <v>P024</v>
      </c>
      <c r="C310" t="str">
        <f t="shared" ca="1" si="30"/>
        <v>Dr. Emily Watson</v>
      </c>
      <c r="D310" t="str">
        <f t="shared" ca="1" si="31"/>
        <v>Emergency Medicine</v>
      </c>
      <c r="E310" s="1">
        <f t="shared" ca="1" si="32"/>
        <v>46088</v>
      </c>
      <c r="F310" t="str">
        <f t="shared" ca="1" si="33"/>
        <v>Cancelled</v>
      </c>
      <c r="G310">
        <f t="shared" ca="1" si="34"/>
        <v>84</v>
      </c>
    </row>
    <row r="311" spans="1:7" x14ac:dyDescent="0.25">
      <c r="A311" t="str">
        <f t="shared" si="28"/>
        <v>A310</v>
      </c>
      <c r="B311" t="str">
        <f t="shared" ca="1" si="29"/>
        <v>P090</v>
      </c>
      <c r="C311" t="str">
        <f t="shared" ca="1" si="30"/>
        <v>Dr. David Park</v>
      </c>
      <c r="D311" t="str">
        <f t="shared" ca="1" si="31"/>
        <v>Dermatology</v>
      </c>
      <c r="E311" s="1">
        <f t="shared" ca="1" si="32"/>
        <v>46102</v>
      </c>
      <c r="F311" t="str">
        <f t="shared" ca="1" si="33"/>
        <v>Completed</v>
      </c>
      <c r="G311">
        <f t="shared" ca="1" si="34"/>
        <v>128</v>
      </c>
    </row>
    <row r="312" spans="1:7" x14ac:dyDescent="0.25">
      <c r="A312" t="str">
        <f t="shared" si="28"/>
        <v>A311</v>
      </c>
      <c r="B312" t="str">
        <f t="shared" ca="1" si="29"/>
        <v>P012</v>
      </c>
      <c r="C312" t="str">
        <f t="shared" ca="1" si="30"/>
        <v>Dr. Emily Watson</v>
      </c>
      <c r="D312" t="str">
        <f t="shared" ca="1" si="31"/>
        <v>Neurology</v>
      </c>
      <c r="E312" s="1">
        <f t="shared" ca="1" si="32"/>
        <v>46098</v>
      </c>
      <c r="F312" t="str">
        <f t="shared" ca="1" si="33"/>
        <v>No-Show</v>
      </c>
      <c r="G312">
        <f t="shared" ca="1" si="34"/>
        <v>70</v>
      </c>
    </row>
    <row r="313" spans="1:7" x14ac:dyDescent="0.25">
      <c r="A313" t="str">
        <f t="shared" si="28"/>
        <v>A312</v>
      </c>
      <c r="B313" t="str">
        <f t="shared" ca="1" si="29"/>
        <v>P057</v>
      </c>
      <c r="C313" t="str">
        <f t="shared" ca="1" si="30"/>
        <v>Dr. David Park</v>
      </c>
      <c r="D313" t="str">
        <f t="shared" ca="1" si="31"/>
        <v>Emergency Medicine</v>
      </c>
      <c r="E313" s="1">
        <f t="shared" ca="1" si="32"/>
        <v>46094</v>
      </c>
      <c r="F313" t="str">
        <f t="shared" ca="1" si="33"/>
        <v>Cancelled</v>
      </c>
      <c r="G313">
        <f t="shared" ca="1" si="34"/>
        <v>88</v>
      </c>
    </row>
    <row r="314" spans="1:7" x14ac:dyDescent="0.25">
      <c r="A314" t="str">
        <f t="shared" si="28"/>
        <v>A313</v>
      </c>
      <c r="B314" t="str">
        <f t="shared" ca="1" si="29"/>
        <v>P044</v>
      </c>
      <c r="C314" t="str">
        <f t="shared" ca="1" si="30"/>
        <v>Dr. Emily Watson</v>
      </c>
      <c r="D314" t="str">
        <f t="shared" ca="1" si="31"/>
        <v>Neurology</v>
      </c>
      <c r="E314" s="1">
        <f t="shared" ca="1" si="32"/>
        <v>46107</v>
      </c>
      <c r="F314" t="str">
        <f t="shared" ca="1" si="33"/>
        <v>No-Show</v>
      </c>
      <c r="G314">
        <f t="shared" ca="1" si="34"/>
        <v>201</v>
      </c>
    </row>
    <row r="315" spans="1:7" x14ac:dyDescent="0.25">
      <c r="A315" t="str">
        <f t="shared" si="28"/>
        <v>A314</v>
      </c>
      <c r="B315" t="str">
        <f t="shared" ca="1" si="29"/>
        <v>P053</v>
      </c>
      <c r="C315" t="str">
        <f t="shared" ca="1" si="30"/>
        <v>Dr. Michael Lee</v>
      </c>
      <c r="D315" t="str">
        <f t="shared" ca="1" si="31"/>
        <v>Neurology</v>
      </c>
      <c r="E315" s="1">
        <f t="shared" ca="1" si="32"/>
        <v>46086</v>
      </c>
      <c r="F315" t="str">
        <f t="shared" ca="1" si="33"/>
        <v>No-Show</v>
      </c>
      <c r="G315">
        <f t="shared" ca="1" si="34"/>
        <v>136</v>
      </c>
    </row>
    <row r="316" spans="1:7" x14ac:dyDescent="0.25">
      <c r="A316" t="str">
        <f t="shared" si="28"/>
        <v>A315</v>
      </c>
      <c r="B316" t="str">
        <f t="shared" ca="1" si="29"/>
        <v>P085</v>
      </c>
      <c r="C316" t="str">
        <f t="shared" ca="1" si="30"/>
        <v>Dr. David Park</v>
      </c>
      <c r="D316" t="str">
        <f t="shared" ca="1" si="31"/>
        <v>Dermatology</v>
      </c>
      <c r="E316" s="1">
        <f t="shared" ca="1" si="32"/>
        <v>46090</v>
      </c>
      <c r="F316" t="str">
        <f t="shared" ca="1" si="33"/>
        <v>Completed</v>
      </c>
      <c r="G316">
        <f t="shared" ca="1" si="34"/>
        <v>126</v>
      </c>
    </row>
    <row r="317" spans="1:7" x14ac:dyDescent="0.25">
      <c r="A317" t="str">
        <f t="shared" si="28"/>
        <v>A316</v>
      </c>
      <c r="B317" t="str">
        <f t="shared" ca="1" si="29"/>
        <v>P015</v>
      </c>
      <c r="C317" t="str">
        <f t="shared" ca="1" si="30"/>
        <v>Dr. James Carter</v>
      </c>
      <c r="D317" t="str">
        <f t="shared" ca="1" si="31"/>
        <v>General Medicine</v>
      </c>
      <c r="E317" s="1">
        <f t="shared" ca="1" si="32"/>
        <v>46110</v>
      </c>
      <c r="F317" t="str">
        <f t="shared" ca="1" si="33"/>
        <v>Completed</v>
      </c>
      <c r="G317">
        <f t="shared" ca="1" si="34"/>
        <v>256</v>
      </c>
    </row>
    <row r="318" spans="1:7" x14ac:dyDescent="0.25">
      <c r="A318" t="str">
        <f t="shared" si="28"/>
        <v>A317</v>
      </c>
      <c r="B318" t="str">
        <f t="shared" ca="1" si="29"/>
        <v>P074</v>
      </c>
      <c r="C318" t="str">
        <f t="shared" ca="1" si="30"/>
        <v>Dr. Sarah Kim</v>
      </c>
      <c r="D318" t="str">
        <f t="shared" ca="1" si="31"/>
        <v>General Medicine</v>
      </c>
      <c r="E318" s="1">
        <f t="shared" ca="1" si="32"/>
        <v>46093</v>
      </c>
      <c r="F318" t="str">
        <f t="shared" ca="1" si="33"/>
        <v>Completed</v>
      </c>
      <c r="G318">
        <f t="shared" ca="1" si="34"/>
        <v>115</v>
      </c>
    </row>
    <row r="319" spans="1:7" x14ac:dyDescent="0.25">
      <c r="A319" t="str">
        <f t="shared" si="28"/>
        <v>A318</v>
      </c>
      <c r="B319" t="str">
        <f t="shared" ca="1" si="29"/>
        <v>P012</v>
      </c>
      <c r="C319" t="str">
        <f t="shared" ca="1" si="30"/>
        <v>Dr. David Park</v>
      </c>
      <c r="D319" t="str">
        <f t="shared" ca="1" si="31"/>
        <v>Psychiatry and Mental Health</v>
      </c>
      <c r="E319" s="1">
        <f t="shared" ca="1" si="32"/>
        <v>46104</v>
      </c>
      <c r="F319" t="str">
        <f t="shared" ca="1" si="33"/>
        <v>Completed</v>
      </c>
      <c r="G319">
        <f t="shared" ca="1" si="34"/>
        <v>242</v>
      </c>
    </row>
    <row r="320" spans="1:7" x14ac:dyDescent="0.25">
      <c r="A320" t="str">
        <f t="shared" si="28"/>
        <v>A319</v>
      </c>
      <c r="B320" t="str">
        <f t="shared" ca="1" si="29"/>
        <v>P045</v>
      </c>
      <c r="C320" t="str">
        <f t="shared" ca="1" si="30"/>
        <v>Dr. Sarah Kim</v>
      </c>
      <c r="D320" t="str">
        <f t="shared" ca="1" si="31"/>
        <v>Orthopedics</v>
      </c>
      <c r="E320" s="1">
        <f t="shared" ca="1" si="32"/>
        <v>46097</v>
      </c>
      <c r="F320" t="str">
        <f t="shared" ca="1" si="33"/>
        <v>Cancelled</v>
      </c>
      <c r="G320">
        <f t="shared" ca="1" si="34"/>
        <v>256</v>
      </c>
    </row>
    <row r="321" spans="1:7" x14ac:dyDescent="0.25">
      <c r="A321" t="str">
        <f t="shared" si="28"/>
        <v>A320</v>
      </c>
      <c r="B321" t="str">
        <f t="shared" ca="1" si="29"/>
        <v>P043</v>
      </c>
      <c r="C321" t="str">
        <f t="shared" ca="1" si="30"/>
        <v>Dr. Michael Lee</v>
      </c>
      <c r="D321" t="str">
        <f t="shared" ca="1" si="31"/>
        <v>General Medicine</v>
      </c>
      <c r="E321" s="1">
        <f t="shared" ca="1" si="32"/>
        <v>46102</v>
      </c>
      <c r="F321" t="str">
        <f t="shared" ca="1" si="33"/>
        <v>Completed</v>
      </c>
      <c r="G321">
        <f t="shared" ca="1" si="34"/>
        <v>121</v>
      </c>
    </row>
    <row r="322" spans="1:7" x14ac:dyDescent="0.25">
      <c r="A322" t="str">
        <f t="shared" si="28"/>
        <v>A321</v>
      </c>
      <c r="B322" t="str">
        <f t="shared" ca="1" si="29"/>
        <v>P034</v>
      </c>
      <c r="C322" t="str">
        <f t="shared" ca="1" si="30"/>
        <v>Dr. Emily Watson</v>
      </c>
      <c r="D322" t="str">
        <f t="shared" ca="1" si="31"/>
        <v>Pharmacy</v>
      </c>
      <c r="E322" s="1">
        <f t="shared" ca="1" si="32"/>
        <v>46108</v>
      </c>
      <c r="F322" t="str">
        <f t="shared" ca="1" si="33"/>
        <v>Cancelled</v>
      </c>
      <c r="G322">
        <f t="shared" ca="1" si="34"/>
        <v>246</v>
      </c>
    </row>
    <row r="323" spans="1:7" x14ac:dyDescent="0.25">
      <c r="A323" t="str">
        <f t="shared" ref="A323:A351" si="35">"A"&amp;TEXT(ROW(A322),"000")</f>
        <v>A322</v>
      </c>
      <c r="B323" t="str">
        <f t="shared" ref="B323:B351" ca="1" si="36">"P"&amp;TEXT(RANDBETWEEN(1,100),"000")</f>
        <v>P077</v>
      </c>
      <c r="C323" t="str">
        <f t="shared" ref="C323:C351" ca="1" si="37">CHOOSE(RANDBETWEEN(1,5),"Dr. James Carter","Dr. Emily Watson","Dr. Michael Lee","Dr. Sarah Kim","Dr. David Park")</f>
        <v>Dr. David Park</v>
      </c>
      <c r="D323" t="str">
        <f t="shared" ref="D323:D351" ca="1" si="38">CHOOSE(RANDBETWEEN(1,10),"Cardiology","Dermatology","Neurology","Orthopedics","General Medicine","Emergency Medicine","Oncology","Physical Medicine and Rehabilitation","Pharmacy","Psychiatry and Mental Health")</f>
        <v>Physical Medicine and Rehabilitation</v>
      </c>
      <c r="E323" s="1">
        <f t="shared" ref="E323:E351" ca="1" si="39">DATE(2026,3,RANDBETWEEN(1,30))</f>
        <v>46092</v>
      </c>
      <c r="F323" t="str">
        <f t="shared" ref="F323:F351" ca="1" si="40">CHOOSE(RANDBETWEEN(1,3),"Completed","No-Show","Cancelled")</f>
        <v>Cancelled</v>
      </c>
      <c r="G323">
        <f t="shared" ref="G323:G351" ca="1" si="41">RANDBETWEEN(50,300)</f>
        <v>226</v>
      </c>
    </row>
    <row r="324" spans="1:7" x14ac:dyDescent="0.25">
      <c r="A324" t="str">
        <f t="shared" si="35"/>
        <v>A323</v>
      </c>
      <c r="B324" t="str">
        <f t="shared" ca="1" si="36"/>
        <v>P084</v>
      </c>
      <c r="C324" t="str">
        <f t="shared" ca="1" si="37"/>
        <v>Dr. Sarah Kim</v>
      </c>
      <c r="D324" t="str">
        <f t="shared" ca="1" si="38"/>
        <v>Psychiatry and Mental Health</v>
      </c>
      <c r="E324" s="1">
        <f t="shared" ca="1" si="39"/>
        <v>46107</v>
      </c>
      <c r="F324" t="str">
        <f t="shared" ca="1" si="40"/>
        <v>Completed</v>
      </c>
      <c r="G324">
        <f t="shared" ca="1" si="41"/>
        <v>162</v>
      </c>
    </row>
    <row r="325" spans="1:7" x14ac:dyDescent="0.25">
      <c r="A325" t="str">
        <f t="shared" si="35"/>
        <v>A324</v>
      </c>
      <c r="B325" t="str">
        <f t="shared" ca="1" si="36"/>
        <v>P001</v>
      </c>
      <c r="C325" t="str">
        <f t="shared" ca="1" si="37"/>
        <v>Dr. Michael Lee</v>
      </c>
      <c r="D325" t="str">
        <f t="shared" ca="1" si="38"/>
        <v>Emergency Medicine</v>
      </c>
      <c r="E325" s="1">
        <f t="shared" ca="1" si="39"/>
        <v>46102</v>
      </c>
      <c r="F325" t="str">
        <f t="shared" ca="1" si="40"/>
        <v>No-Show</v>
      </c>
      <c r="G325">
        <f t="shared" ca="1" si="41"/>
        <v>281</v>
      </c>
    </row>
    <row r="326" spans="1:7" x14ac:dyDescent="0.25">
      <c r="A326" t="str">
        <f t="shared" si="35"/>
        <v>A325</v>
      </c>
      <c r="B326" t="str">
        <f t="shared" ca="1" si="36"/>
        <v>P032</v>
      </c>
      <c r="C326" t="str">
        <f t="shared" ca="1" si="37"/>
        <v>Dr. James Carter</v>
      </c>
      <c r="D326" t="str">
        <f t="shared" ca="1" si="38"/>
        <v>Neurology</v>
      </c>
      <c r="E326" s="1">
        <f t="shared" ca="1" si="39"/>
        <v>46110</v>
      </c>
      <c r="F326" t="str">
        <f t="shared" ca="1" si="40"/>
        <v>Completed</v>
      </c>
      <c r="G326">
        <f t="shared" ca="1" si="41"/>
        <v>108</v>
      </c>
    </row>
    <row r="327" spans="1:7" x14ac:dyDescent="0.25">
      <c r="A327" t="str">
        <f t="shared" si="35"/>
        <v>A326</v>
      </c>
      <c r="B327" t="str">
        <f t="shared" ca="1" si="36"/>
        <v>P100</v>
      </c>
      <c r="C327" t="str">
        <f t="shared" ca="1" si="37"/>
        <v>Dr. Michael Lee</v>
      </c>
      <c r="D327" t="str">
        <f t="shared" ca="1" si="38"/>
        <v>Psychiatry and Mental Health</v>
      </c>
      <c r="E327" s="1">
        <f t="shared" ca="1" si="39"/>
        <v>46098</v>
      </c>
      <c r="F327" t="str">
        <f t="shared" ca="1" si="40"/>
        <v>No-Show</v>
      </c>
      <c r="G327">
        <f t="shared" ca="1" si="41"/>
        <v>57</v>
      </c>
    </row>
    <row r="328" spans="1:7" x14ac:dyDescent="0.25">
      <c r="A328" t="str">
        <f t="shared" si="35"/>
        <v>A327</v>
      </c>
      <c r="B328" t="str">
        <f t="shared" ca="1" si="36"/>
        <v>P040</v>
      </c>
      <c r="C328" t="str">
        <f t="shared" ca="1" si="37"/>
        <v>Dr. Emily Watson</v>
      </c>
      <c r="D328" t="str">
        <f t="shared" ca="1" si="38"/>
        <v>Orthopedics</v>
      </c>
      <c r="E328" s="1">
        <f t="shared" ca="1" si="39"/>
        <v>46089</v>
      </c>
      <c r="F328" t="str">
        <f t="shared" ca="1" si="40"/>
        <v>Completed</v>
      </c>
      <c r="G328">
        <f t="shared" ca="1" si="41"/>
        <v>189</v>
      </c>
    </row>
    <row r="329" spans="1:7" x14ac:dyDescent="0.25">
      <c r="A329" t="str">
        <f t="shared" si="35"/>
        <v>A328</v>
      </c>
      <c r="B329" t="str">
        <f t="shared" ca="1" si="36"/>
        <v>P052</v>
      </c>
      <c r="C329" t="str">
        <f t="shared" ca="1" si="37"/>
        <v>Dr. Michael Lee</v>
      </c>
      <c r="D329" t="str">
        <f t="shared" ca="1" si="38"/>
        <v>Neurology</v>
      </c>
      <c r="E329" s="1">
        <f t="shared" ca="1" si="39"/>
        <v>46108</v>
      </c>
      <c r="F329" t="str">
        <f t="shared" ca="1" si="40"/>
        <v>No-Show</v>
      </c>
      <c r="G329">
        <f t="shared" ca="1" si="41"/>
        <v>110</v>
      </c>
    </row>
    <row r="330" spans="1:7" x14ac:dyDescent="0.25">
      <c r="A330" t="str">
        <f t="shared" si="35"/>
        <v>A329</v>
      </c>
      <c r="B330" t="str">
        <f t="shared" ca="1" si="36"/>
        <v>P094</v>
      </c>
      <c r="C330" t="str">
        <f t="shared" ca="1" si="37"/>
        <v>Dr. Emily Watson</v>
      </c>
      <c r="D330" t="str">
        <f t="shared" ca="1" si="38"/>
        <v>Neurology</v>
      </c>
      <c r="E330" s="1">
        <f t="shared" ca="1" si="39"/>
        <v>46090</v>
      </c>
      <c r="F330" t="str">
        <f t="shared" ca="1" si="40"/>
        <v>Cancelled</v>
      </c>
      <c r="G330">
        <f t="shared" ca="1" si="41"/>
        <v>269</v>
      </c>
    </row>
    <row r="331" spans="1:7" x14ac:dyDescent="0.25">
      <c r="A331" t="str">
        <f t="shared" si="35"/>
        <v>A330</v>
      </c>
      <c r="B331" t="str">
        <f t="shared" ca="1" si="36"/>
        <v>P025</v>
      </c>
      <c r="C331" t="str">
        <f t="shared" ca="1" si="37"/>
        <v>Dr. Sarah Kim</v>
      </c>
      <c r="D331" t="str">
        <f t="shared" ca="1" si="38"/>
        <v>Psychiatry and Mental Health</v>
      </c>
      <c r="E331" s="1">
        <f t="shared" ca="1" si="39"/>
        <v>46091</v>
      </c>
      <c r="F331" t="str">
        <f t="shared" ca="1" si="40"/>
        <v>No-Show</v>
      </c>
      <c r="G331">
        <f t="shared" ca="1" si="41"/>
        <v>250</v>
      </c>
    </row>
    <row r="332" spans="1:7" x14ac:dyDescent="0.25">
      <c r="A332" t="str">
        <f t="shared" si="35"/>
        <v>A331</v>
      </c>
      <c r="B332" t="str">
        <f t="shared" ca="1" si="36"/>
        <v>P017</v>
      </c>
      <c r="C332" t="str">
        <f t="shared" ca="1" si="37"/>
        <v>Dr. Sarah Kim</v>
      </c>
      <c r="D332" t="str">
        <f t="shared" ca="1" si="38"/>
        <v>Orthopedics</v>
      </c>
      <c r="E332" s="1">
        <f t="shared" ca="1" si="39"/>
        <v>46089</v>
      </c>
      <c r="F332" t="str">
        <f t="shared" ca="1" si="40"/>
        <v>Cancelled</v>
      </c>
      <c r="G332">
        <f t="shared" ca="1" si="41"/>
        <v>273</v>
      </c>
    </row>
    <row r="333" spans="1:7" x14ac:dyDescent="0.25">
      <c r="A333" t="str">
        <f t="shared" si="35"/>
        <v>A332</v>
      </c>
      <c r="B333" t="str">
        <f t="shared" ca="1" si="36"/>
        <v>P071</v>
      </c>
      <c r="C333" t="str">
        <f t="shared" ca="1" si="37"/>
        <v>Dr. David Park</v>
      </c>
      <c r="D333" t="str">
        <f t="shared" ca="1" si="38"/>
        <v>Psychiatry and Mental Health</v>
      </c>
      <c r="E333" s="1">
        <f t="shared" ca="1" si="39"/>
        <v>46084</v>
      </c>
      <c r="F333" t="str">
        <f t="shared" ca="1" si="40"/>
        <v>No-Show</v>
      </c>
      <c r="G333">
        <f t="shared" ca="1" si="41"/>
        <v>281</v>
      </c>
    </row>
    <row r="334" spans="1:7" x14ac:dyDescent="0.25">
      <c r="A334" t="str">
        <f t="shared" si="35"/>
        <v>A333</v>
      </c>
      <c r="B334" t="str">
        <f t="shared" ca="1" si="36"/>
        <v>P001</v>
      </c>
      <c r="C334" t="str">
        <f t="shared" ca="1" si="37"/>
        <v>Dr. Emily Watson</v>
      </c>
      <c r="D334" t="str">
        <f t="shared" ca="1" si="38"/>
        <v>Emergency Medicine</v>
      </c>
      <c r="E334" s="1">
        <f t="shared" ca="1" si="39"/>
        <v>46110</v>
      </c>
      <c r="F334" t="str">
        <f t="shared" ca="1" si="40"/>
        <v>No-Show</v>
      </c>
      <c r="G334">
        <f t="shared" ca="1" si="41"/>
        <v>114</v>
      </c>
    </row>
    <row r="335" spans="1:7" x14ac:dyDescent="0.25">
      <c r="A335" t="str">
        <f t="shared" si="35"/>
        <v>A334</v>
      </c>
      <c r="B335" t="str">
        <f t="shared" ca="1" si="36"/>
        <v>P073</v>
      </c>
      <c r="C335" t="str">
        <f t="shared" ca="1" si="37"/>
        <v>Dr. James Carter</v>
      </c>
      <c r="D335" t="str">
        <f t="shared" ca="1" si="38"/>
        <v>Pharmacy</v>
      </c>
      <c r="E335" s="1">
        <f t="shared" ca="1" si="39"/>
        <v>46111</v>
      </c>
      <c r="F335" t="str">
        <f t="shared" ca="1" si="40"/>
        <v>Completed</v>
      </c>
      <c r="G335">
        <f t="shared" ca="1" si="41"/>
        <v>55</v>
      </c>
    </row>
    <row r="336" spans="1:7" x14ac:dyDescent="0.25">
      <c r="A336" t="str">
        <f t="shared" si="35"/>
        <v>A335</v>
      </c>
      <c r="B336" t="str">
        <f t="shared" ca="1" si="36"/>
        <v>P007</v>
      </c>
      <c r="C336" t="str">
        <f t="shared" ca="1" si="37"/>
        <v>Dr. Michael Lee</v>
      </c>
      <c r="D336" t="str">
        <f t="shared" ca="1" si="38"/>
        <v>Dermatology</v>
      </c>
      <c r="E336" s="1">
        <f t="shared" ca="1" si="39"/>
        <v>46090</v>
      </c>
      <c r="F336" t="str">
        <f t="shared" ca="1" si="40"/>
        <v>Completed</v>
      </c>
      <c r="G336">
        <f t="shared" ca="1" si="41"/>
        <v>61</v>
      </c>
    </row>
    <row r="337" spans="1:7" x14ac:dyDescent="0.25">
      <c r="A337" t="str">
        <f t="shared" si="35"/>
        <v>A336</v>
      </c>
      <c r="B337" t="str">
        <f t="shared" ca="1" si="36"/>
        <v>P008</v>
      </c>
      <c r="C337" t="str">
        <f t="shared" ca="1" si="37"/>
        <v>Dr. Sarah Kim</v>
      </c>
      <c r="D337" t="str">
        <f t="shared" ca="1" si="38"/>
        <v>Psychiatry and Mental Health</v>
      </c>
      <c r="E337" s="1">
        <f t="shared" ca="1" si="39"/>
        <v>46099</v>
      </c>
      <c r="F337" t="str">
        <f t="shared" ca="1" si="40"/>
        <v>Completed</v>
      </c>
      <c r="G337">
        <f t="shared" ca="1" si="41"/>
        <v>288</v>
      </c>
    </row>
    <row r="338" spans="1:7" x14ac:dyDescent="0.25">
      <c r="A338" t="str">
        <f t="shared" si="35"/>
        <v>A337</v>
      </c>
      <c r="B338" t="str">
        <f t="shared" ca="1" si="36"/>
        <v>P006</v>
      </c>
      <c r="C338" t="str">
        <f t="shared" ca="1" si="37"/>
        <v>Dr. James Carter</v>
      </c>
      <c r="D338" t="str">
        <f t="shared" ca="1" si="38"/>
        <v>Oncology</v>
      </c>
      <c r="E338" s="1">
        <f t="shared" ca="1" si="39"/>
        <v>46103</v>
      </c>
      <c r="F338" t="str">
        <f t="shared" ca="1" si="40"/>
        <v>No-Show</v>
      </c>
      <c r="G338">
        <f t="shared" ca="1" si="41"/>
        <v>141</v>
      </c>
    </row>
    <row r="339" spans="1:7" x14ac:dyDescent="0.25">
      <c r="A339" t="str">
        <f t="shared" si="35"/>
        <v>A338</v>
      </c>
      <c r="B339" t="str">
        <f t="shared" ca="1" si="36"/>
        <v>P065</v>
      </c>
      <c r="C339" t="str">
        <f t="shared" ca="1" si="37"/>
        <v>Dr. Michael Lee</v>
      </c>
      <c r="D339" t="str">
        <f t="shared" ca="1" si="38"/>
        <v>Physical Medicine and Rehabilitation</v>
      </c>
      <c r="E339" s="1">
        <f t="shared" ca="1" si="39"/>
        <v>46104</v>
      </c>
      <c r="F339" t="str">
        <f t="shared" ca="1" si="40"/>
        <v>Cancelled</v>
      </c>
      <c r="G339">
        <f t="shared" ca="1" si="41"/>
        <v>198</v>
      </c>
    </row>
    <row r="340" spans="1:7" x14ac:dyDescent="0.25">
      <c r="A340" t="str">
        <f t="shared" si="35"/>
        <v>A339</v>
      </c>
      <c r="B340" t="str">
        <f t="shared" ca="1" si="36"/>
        <v>P012</v>
      </c>
      <c r="C340" t="str">
        <f t="shared" ca="1" si="37"/>
        <v>Dr. Sarah Kim</v>
      </c>
      <c r="D340" t="str">
        <f t="shared" ca="1" si="38"/>
        <v>Cardiology</v>
      </c>
      <c r="E340" s="1">
        <f t="shared" ca="1" si="39"/>
        <v>46100</v>
      </c>
      <c r="F340" t="str">
        <f t="shared" ca="1" si="40"/>
        <v>Completed</v>
      </c>
      <c r="G340">
        <f t="shared" ca="1" si="41"/>
        <v>181</v>
      </c>
    </row>
    <row r="341" spans="1:7" x14ac:dyDescent="0.25">
      <c r="A341" t="str">
        <f t="shared" si="35"/>
        <v>A340</v>
      </c>
      <c r="B341" t="str">
        <f t="shared" ca="1" si="36"/>
        <v>P027</v>
      </c>
      <c r="C341" t="str">
        <f t="shared" ca="1" si="37"/>
        <v>Dr. David Park</v>
      </c>
      <c r="D341" t="str">
        <f t="shared" ca="1" si="38"/>
        <v>Dermatology</v>
      </c>
      <c r="E341" s="1">
        <f t="shared" ca="1" si="39"/>
        <v>46083</v>
      </c>
      <c r="F341" t="str">
        <f t="shared" ca="1" si="40"/>
        <v>Completed</v>
      </c>
      <c r="G341">
        <f t="shared" ca="1" si="41"/>
        <v>150</v>
      </c>
    </row>
    <row r="342" spans="1:7" x14ac:dyDescent="0.25">
      <c r="A342" t="str">
        <f t="shared" si="35"/>
        <v>A341</v>
      </c>
      <c r="B342" t="str">
        <f t="shared" ca="1" si="36"/>
        <v>P063</v>
      </c>
      <c r="C342" t="str">
        <f t="shared" ca="1" si="37"/>
        <v>Dr. Emily Watson</v>
      </c>
      <c r="D342" t="str">
        <f t="shared" ca="1" si="38"/>
        <v>Psychiatry and Mental Health</v>
      </c>
      <c r="E342" s="1">
        <f t="shared" ca="1" si="39"/>
        <v>46098</v>
      </c>
      <c r="F342" t="str">
        <f t="shared" ca="1" si="40"/>
        <v>Completed</v>
      </c>
      <c r="G342">
        <f t="shared" ca="1" si="41"/>
        <v>86</v>
      </c>
    </row>
    <row r="343" spans="1:7" x14ac:dyDescent="0.25">
      <c r="A343" t="str">
        <f t="shared" si="35"/>
        <v>A342</v>
      </c>
      <c r="B343" t="str">
        <f t="shared" ca="1" si="36"/>
        <v>P078</v>
      </c>
      <c r="C343" t="str">
        <f t="shared" ca="1" si="37"/>
        <v>Dr. Emily Watson</v>
      </c>
      <c r="D343" t="str">
        <f t="shared" ca="1" si="38"/>
        <v>Dermatology</v>
      </c>
      <c r="E343" s="1">
        <f t="shared" ca="1" si="39"/>
        <v>46106</v>
      </c>
      <c r="F343" t="str">
        <f t="shared" ca="1" si="40"/>
        <v>Completed</v>
      </c>
      <c r="G343">
        <f t="shared" ca="1" si="41"/>
        <v>135</v>
      </c>
    </row>
    <row r="344" spans="1:7" x14ac:dyDescent="0.25">
      <c r="A344" t="str">
        <f t="shared" si="35"/>
        <v>A343</v>
      </c>
      <c r="B344" t="str">
        <f t="shared" ca="1" si="36"/>
        <v>P062</v>
      </c>
      <c r="C344" t="str">
        <f t="shared" ca="1" si="37"/>
        <v>Dr. David Park</v>
      </c>
      <c r="D344" t="str">
        <f t="shared" ca="1" si="38"/>
        <v>Orthopedics</v>
      </c>
      <c r="E344" s="1">
        <f t="shared" ca="1" si="39"/>
        <v>46083</v>
      </c>
      <c r="F344" t="str">
        <f t="shared" ca="1" si="40"/>
        <v>Completed</v>
      </c>
      <c r="G344">
        <f t="shared" ca="1" si="41"/>
        <v>234</v>
      </c>
    </row>
    <row r="345" spans="1:7" x14ac:dyDescent="0.25">
      <c r="A345" t="str">
        <f t="shared" si="35"/>
        <v>A344</v>
      </c>
      <c r="B345" t="str">
        <f t="shared" ca="1" si="36"/>
        <v>P096</v>
      </c>
      <c r="C345" t="str">
        <f t="shared" ca="1" si="37"/>
        <v>Dr. Emily Watson</v>
      </c>
      <c r="D345" t="str">
        <f t="shared" ca="1" si="38"/>
        <v>Physical Medicine and Rehabilitation</v>
      </c>
      <c r="E345" s="1">
        <f t="shared" ca="1" si="39"/>
        <v>46102</v>
      </c>
      <c r="F345" t="str">
        <f t="shared" ca="1" si="40"/>
        <v>No-Show</v>
      </c>
      <c r="G345">
        <f t="shared" ca="1" si="41"/>
        <v>280</v>
      </c>
    </row>
    <row r="346" spans="1:7" x14ac:dyDescent="0.25">
      <c r="A346" t="str">
        <f t="shared" si="35"/>
        <v>A345</v>
      </c>
      <c r="B346" t="str">
        <f t="shared" ca="1" si="36"/>
        <v>P079</v>
      </c>
      <c r="C346" t="str">
        <f t="shared" ca="1" si="37"/>
        <v>Dr. James Carter</v>
      </c>
      <c r="D346" t="str">
        <f t="shared" ca="1" si="38"/>
        <v>Dermatology</v>
      </c>
      <c r="E346" s="1">
        <f t="shared" ca="1" si="39"/>
        <v>46106</v>
      </c>
      <c r="F346" t="str">
        <f t="shared" ca="1" si="40"/>
        <v>No-Show</v>
      </c>
      <c r="G346">
        <f t="shared" ca="1" si="41"/>
        <v>194</v>
      </c>
    </row>
    <row r="347" spans="1:7" x14ac:dyDescent="0.25">
      <c r="A347" t="str">
        <f t="shared" si="35"/>
        <v>A346</v>
      </c>
      <c r="B347" t="str">
        <f t="shared" ca="1" si="36"/>
        <v>P054</v>
      </c>
      <c r="C347" t="str">
        <f t="shared" ca="1" si="37"/>
        <v>Dr. Emily Watson</v>
      </c>
      <c r="D347" t="str">
        <f t="shared" ca="1" si="38"/>
        <v>Pharmacy</v>
      </c>
      <c r="E347" s="1">
        <f t="shared" ca="1" si="39"/>
        <v>46093</v>
      </c>
      <c r="F347" t="str">
        <f t="shared" ca="1" si="40"/>
        <v>Cancelled</v>
      </c>
      <c r="G347">
        <f t="shared" ca="1" si="41"/>
        <v>161</v>
      </c>
    </row>
    <row r="348" spans="1:7" x14ac:dyDescent="0.25">
      <c r="A348" t="str">
        <f t="shared" si="35"/>
        <v>A347</v>
      </c>
      <c r="B348" t="str">
        <f t="shared" ca="1" si="36"/>
        <v>P081</v>
      </c>
      <c r="C348" t="str">
        <f t="shared" ca="1" si="37"/>
        <v>Dr. Emily Watson</v>
      </c>
      <c r="D348" t="str">
        <f t="shared" ca="1" si="38"/>
        <v>Oncology</v>
      </c>
      <c r="E348" s="1">
        <f t="shared" ca="1" si="39"/>
        <v>46093</v>
      </c>
      <c r="F348" t="str">
        <f t="shared" ca="1" si="40"/>
        <v>No-Show</v>
      </c>
      <c r="G348">
        <f t="shared" ca="1" si="41"/>
        <v>235</v>
      </c>
    </row>
    <row r="349" spans="1:7" x14ac:dyDescent="0.25">
      <c r="A349" t="str">
        <f t="shared" si="35"/>
        <v>A348</v>
      </c>
      <c r="B349" t="str">
        <f t="shared" ca="1" si="36"/>
        <v>P038</v>
      </c>
      <c r="C349" t="str">
        <f t="shared" ca="1" si="37"/>
        <v>Dr. Emily Watson</v>
      </c>
      <c r="D349" t="str">
        <f t="shared" ca="1" si="38"/>
        <v>Pharmacy</v>
      </c>
      <c r="E349" s="1">
        <f t="shared" ca="1" si="39"/>
        <v>46099</v>
      </c>
      <c r="F349" t="str">
        <f t="shared" ca="1" si="40"/>
        <v>Cancelled</v>
      </c>
      <c r="G349">
        <f t="shared" ca="1" si="41"/>
        <v>138</v>
      </c>
    </row>
    <row r="350" spans="1:7" x14ac:dyDescent="0.25">
      <c r="A350" t="str">
        <f t="shared" si="35"/>
        <v>A349</v>
      </c>
      <c r="B350" t="str">
        <f t="shared" ca="1" si="36"/>
        <v>P089</v>
      </c>
      <c r="C350" t="str">
        <f t="shared" ca="1" si="37"/>
        <v>Dr. David Park</v>
      </c>
      <c r="D350" t="str">
        <f t="shared" ca="1" si="38"/>
        <v>Pharmacy</v>
      </c>
      <c r="E350" s="1">
        <f t="shared" ca="1" si="39"/>
        <v>46099</v>
      </c>
      <c r="F350" t="str">
        <f t="shared" ca="1" si="40"/>
        <v>Cancelled</v>
      </c>
      <c r="G350">
        <f t="shared" ca="1" si="41"/>
        <v>143</v>
      </c>
    </row>
    <row r="351" spans="1:7" x14ac:dyDescent="0.25">
      <c r="A351" t="str">
        <f t="shared" si="35"/>
        <v>A350</v>
      </c>
      <c r="B351" t="str">
        <f t="shared" ca="1" si="36"/>
        <v>P082</v>
      </c>
      <c r="C351" t="str">
        <f t="shared" ca="1" si="37"/>
        <v>Dr. James Carter</v>
      </c>
      <c r="D351" t="str">
        <f t="shared" ca="1" si="38"/>
        <v>Physical Medicine and Rehabilitation</v>
      </c>
      <c r="E351" s="1">
        <f t="shared" ca="1" si="39"/>
        <v>46086</v>
      </c>
      <c r="F351" t="str">
        <f t="shared" ca="1" si="40"/>
        <v>No-Show</v>
      </c>
      <c r="G351">
        <f t="shared" ca="1" si="41"/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CB90-9B21-40CB-86C5-F3BB7CAA9612}">
  <dimension ref="A1:I351"/>
  <sheetViews>
    <sheetView topLeftCell="A330" workbookViewId="0">
      <selection activeCell="G35" sqref="G35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0.140625" bestFit="1" customWidth="1"/>
    <col min="4" max="4" width="17.28515625" bestFit="1" customWidth="1"/>
    <col min="5" max="5" width="4.140625" bestFit="1" customWidth="1"/>
    <col min="6" max="6" width="7.5703125" bestFit="1" customWidth="1"/>
    <col min="7" max="7" width="8.140625" bestFit="1" customWidth="1"/>
    <col min="8" max="8" width="10.42578125" style="2" bestFit="1" customWidth="1"/>
    <col min="9" max="9" width="11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6</v>
      </c>
      <c r="I1" t="s">
        <v>7</v>
      </c>
    </row>
    <row r="2" spans="1:9" x14ac:dyDescent="0.25">
      <c r="A2" t="s">
        <v>9</v>
      </c>
      <c r="B2" t="s">
        <v>17</v>
      </c>
      <c r="C2" t="s">
        <v>28</v>
      </c>
      <c r="D2" t="s">
        <v>167</v>
      </c>
      <c r="E2">
        <v>25</v>
      </c>
      <c r="F2" t="s">
        <v>19</v>
      </c>
      <c r="G2" t="s">
        <v>20</v>
      </c>
      <c r="H2" s="2">
        <v>37199</v>
      </c>
      <c r="I2" t="s">
        <v>21</v>
      </c>
    </row>
    <row r="3" spans="1:9" x14ac:dyDescent="0.25">
      <c r="A3" t="s">
        <v>16</v>
      </c>
      <c r="B3" t="s">
        <v>17</v>
      </c>
      <c r="C3" t="s">
        <v>62</v>
      </c>
      <c r="D3" t="s">
        <v>63</v>
      </c>
      <c r="E3">
        <v>47</v>
      </c>
      <c r="F3" t="s">
        <v>13</v>
      </c>
      <c r="G3" t="s">
        <v>36</v>
      </c>
      <c r="H3" s="2">
        <v>29083</v>
      </c>
      <c r="I3" t="s">
        <v>30</v>
      </c>
    </row>
    <row r="4" spans="1:9" x14ac:dyDescent="0.25">
      <c r="A4" t="s">
        <v>22</v>
      </c>
      <c r="B4" t="s">
        <v>10</v>
      </c>
      <c r="C4" t="s">
        <v>24</v>
      </c>
      <c r="D4" t="s">
        <v>282</v>
      </c>
      <c r="E4">
        <v>36</v>
      </c>
      <c r="F4" t="s">
        <v>19</v>
      </c>
      <c r="G4" t="s">
        <v>20</v>
      </c>
      <c r="H4" s="2">
        <v>33100</v>
      </c>
      <c r="I4" t="s">
        <v>30</v>
      </c>
    </row>
    <row r="5" spans="1:9" x14ac:dyDescent="0.25">
      <c r="A5" t="s">
        <v>26</v>
      </c>
      <c r="B5" t="s">
        <v>17</v>
      </c>
      <c r="C5" t="s">
        <v>24</v>
      </c>
      <c r="D5" t="s">
        <v>262</v>
      </c>
      <c r="E5">
        <v>58</v>
      </c>
      <c r="F5" t="s">
        <v>13</v>
      </c>
      <c r="G5" t="s">
        <v>20</v>
      </c>
      <c r="H5" s="2">
        <v>24980</v>
      </c>
      <c r="I5" t="s">
        <v>15</v>
      </c>
    </row>
    <row r="6" spans="1:9" x14ac:dyDescent="0.25">
      <c r="A6" t="s">
        <v>31</v>
      </c>
      <c r="B6" t="s">
        <v>54</v>
      </c>
      <c r="C6" t="s">
        <v>62</v>
      </c>
      <c r="D6" t="s">
        <v>329</v>
      </c>
      <c r="E6">
        <v>39</v>
      </c>
      <c r="F6" t="s">
        <v>19</v>
      </c>
      <c r="G6" t="s">
        <v>20</v>
      </c>
      <c r="H6" s="2">
        <v>31855</v>
      </c>
      <c r="I6" t="s">
        <v>30</v>
      </c>
    </row>
    <row r="7" spans="1:9" x14ac:dyDescent="0.25">
      <c r="A7" t="s">
        <v>33</v>
      </c>
      <c r="B7" t="s">
        <v>54</v>
      </c>
      <c r="C7" t="s">
        <v>70</v>
      </c>
      <c r="D7" t="s">
        <v>71</v>
      </c>
      <c r="E7">
        <v>28</v>
      </c>
      <c r="F7" t="s">
        <v>19</v>
      </c>
      <c r="G7" t="s">
        <v>14</v>
      </c>
      <c r="H7" s="2">
        <v>36009</v>
      </c>
      <c r="I7" t="s">
        <v>21</v>
      </c>
    </row>
    <row r="8" spans="1:9" x14ac:dyDescent="0.25">
      <c r="A8" t="s">
        <v>37</v>
      </c>
      <c r="B8" t="s">
        <v>17</v>
      </c>
      <c r="C8" t="s">
        <v>51</v>
      </c>
      <c r="D8" t="s">
        <v>236</v>
      </c>
      <c r="E8">
        <v>52</v>
      </c>
      <c r="F8" t="s">
        <v>13</v>
      </c>
      <c r="G8" t="s">
        <v>36</v>
      </c>
      <c r="H8" s="2">
        <v>27313</v>
      </c>
      <c r="I8" t="s">
        <v>15</v>
      </c>
    </row>
    <row r="9" spans="1:9" x14ac:dyDescent="0.25">
      <c r="A9" t="s">
        <v>40</v>
      </c>
      <c r="B9" t="s">
        <v>38</v>
      </c>
      <c r="C9" t="s">
        <v>28</v>
      </c>
      <c r="D9" t="s">
        <v>182</v>
      </c>
      <c r="E9">
        <v>66</v>
      </c>
      <c r="F9" t="s">
        <v>13</v>
      </c>
      <c r="G9" t="s">
        <v>60</v>
      </c>
      <c r="H9" s="2">
        <v>21937</v>
      </c>
      <c r="I9" t="s">
        <v>15</v>
      </c>
    </row>
    <row r="10" spans="1:9" x14ac:dyDescent="0.25">
      <c r="A10" t="s">
        <v>43</v>
      </c>
      <c r="B10" t="s">
        <v>10</v>
      </c>
      <c r="C10" t="s">
        <v>11</v>
      </c>
      <c r="D10" t="s">
        <v>12</v>
      </c>
      <c r="E10">
        <v>54</v>
      </c>
      <c r="F10" t="s">
        <v>13</v>
      </c>
      <c r="G10" t="s">
        <v>14</v>
      </c>
      <c r="H10" s="2">
        <v>26339</v>
      </c>
      <c r="I10" t="s">
        <v>15</v>
      </c>
    </row>
    <row r="11" spans="1:9" x14ac:dyDescent="0.25">
      <c r="A11" t="s">
        <v>48</v>
      </c>
      <c r="B11" t="s">
        <v>41</v>
      </c>
      <c r="C11" t="s">
        <v>34</v>
      </c>
      <c r="D11" t="s">
        <v>114</v>
      </c>
      <c r="E11">
        <v>27</v>
      </c>
      <c r="F11" t="s">
        <v>13</v>
      </c>
      <c r="G11" t="s">
        <v>14</v>
      </c>
      <c r="H11" s="2">
        <v>36429</v>
      </c>
      <c r="I11" t="s">
        <v>21</v>
      </c>
    </row>
    <row r="12" spans="1:9" x14ac:dyDescent="0.25">
      <c r="A12" t="s">
        <v>50</v>
      </c>
      <c r="B12" t="s">
        <v>38</v>
      </c>
      <c r="C12" t="s">
        <v>67</v>
      </c>
      <c r="D12" t="s">
        <v>90</v>
      </c>
      <c r="E12">
        <v>69</v>
      </c>
      <c r="F12" t="s">
        <v>13</v>
      </c>
      <c r="G12" t="s">
        <v>47</v>
      </c>
      <c r="H12" s="2">
        <v>20975</v>
      </c>
      <c r="I12" t="s">
        <v>15</v>
      </c>
    </row>
    <row r="13" spans="1:9" x14ac:dyDescent="0.25">
      <c r="A13" t="s">
        <v>53</v>
      </c>
      <c r="B13" t="s">
        <v>44</v>
      </c>
      <c r="C13" t="s">
        <v>62</v>
      </c>
      <c r="D13" t="s">
        <v>130</v>
      </c>
      <c r="E13">
        <v>61</v>
      </c>
      <c r="F13" t="s">
        <v>13</v>
      </c>
      <c r="G13" t="s">
        <v>20</v>
      </c>
      <c r="H13" s="2">
        <v>24080</v>
      </c>
      <c r="I13" t="s">
        <v>15</v>
      </c>
    </row>
    <row r="14" spans="1:9" x14ac:dyDescent="0.25">
      <c r="A14" t="s">
        <v>56</v>
      </c>
      <c r="B14" t="s">
        <v>54</v>
      </c>
      <c r="C14" t="s">
        <v>62</v>
      </c>
      <c r="D14" t="s">
        <v>329</v>
      </c>
      <c r="E14">
        <v>41</v>
      </c>
      <c r="F14" t="s">
        <v>19</v>
      </c>
      <c r="G14" t="s">
        <v>47</v>
      </c>
      <c r="H14" s="2">
        <v>31222</v>
      </c>
      <c r="I14" t="s">
        <v>30</v>
      </c>
    </row>
    <row r="15" spans="1:9" x14ac:dyDescent="0.25">
      <c r="A15" t="s">
        <v>58</v>
      </c>
      <c r="B15" t="s">
        <v>17</v>
      </c>
      <c r="C15" t="s">
        <v>51</v>
      </c>
      <c r="D15" t="s">
        <v>236</v>
      </c>
      <c r="E15">
        <v>50</v>
      </c>
      <c r="F15" t="s">
        <v>13</v>
      </c>
      <c r="G15" t="s">
        <v>47</v>
      </c>
      <c r="H15" s="2">
        <v>27823</v>
      </c>
      <c r="I15" t="s">
        <v>15</v>
      </c>
    </row>
    <row r="16" spans="1:9" x14ac:dyDescent="0.25">
      <c r="A16" t="s">
        <v>61</v>
      </c>
      <c r="B16" t="s">
        <v>73</v>
      </c>
      <c r="C16" t="s">
        <v>34</v>
      </c>
      <c r="D16" t="s">
        <v>74</v>
      </c>
      <c r="E16">
        <v>53</v>
      </c>
      <c r="F16" t="s">
        <v>19</v>
      </c>
      <c r="G16" t="s">
        <v>47</v>
      </c>
      <c r="H16" s="2">
        <v>26951</v>
      </c>
      <c r="I16" t="s">
        <v>15</v>
      </c>
    </row>
    <row r="17" spans="1:9" x14ac:dyDescent="0.25">
      <c r="A17" t="s">
        <v>64</v>
      </c>
      <c r="B17" t="s">
        <v>54</v>
      </c>
      <c r="C17" t="s">
        <v>34</v>
      </c>
      <c r="D17" t="s">
        <v>55</v>
      </c>
      <c r="E17">
        <v>46</v>
      </c>
      <c r="F17" t="s">
        <v>19</v>
      </c>
      <c r="G17" t="s">
        <v>47</v>
      </c>
      <c r="H17" s="2">
        <v>29551</v>
      </c>
      <c r="I17" t="s">
        <v>30</v>
      </c>
    </row>
    <row r="18" spans="1:9" x14ac:dyDescent="0.25">
      <c r="A18" t="s">
        <v>66</v>
      </c>
      <c r="B18" t="s">
        <v>38</v>
      </c>
      <c r="C18" t="s">
        <v>28</v>
      </c>
      <c r="D18" t="s">
        <v>182</v>
      </c>
      <c r="E18">
        <v>60</v>
      </c>
      <c r="F18" t="s">
        <v>19</v>
      </c>
      <c r="G18" t="s">
        <v>36</v>
      </c>
      <c r="H18" s="2">
        <v>24253</v>
      </c>
      <c r="I18" t="s">
        <v>15</v>
      </c>
    </row>
    <row r="19" spans="1:9" x14ac:dyDescent="0.25">
      <c r="A19" t="s">
        <v>69</v>
      </c>
      <c r="B19" t="s">
        <v>38</v>
      </c>
      <c r="C19" t="s">
        <v>51</v>
      </c>
      <c r="D19" t="s">
        <v>52</v>
      </c>
      <c r="E19">
        <v>57</v>
      </c>
      <c r="F19" t="s">
        <v>19</v>
      </c>
      <c r="G19" t="s">
        <v>47</v>
      </c>
      <c r="H19" s="2">
        <v>25283</v>
      </c>
      <c r="I19" t="s">
        <v>15</v>
      </c>
    </row>
    <row r="20" spans="1:9" x14ac:dyDescent="0.25">
      <c r="A20" t="s">
        <v>72</v>
      </c>
      <c r="B20" t="s">
        <v>10</v>
      </c>
      <c r="C20" t="s">
        <v>70</v>
      </c>
      <c r="D20" t="s">
        <v>208</v>
      </c>
      <c r="E20">
        <v>22</v>
      </c>
      <c r="F20" t="s">
        <v>19</v>
      </c>
      <c r="G20" t="s">
        <v>60</v>
      </c>
      <c r="H20" s="2">
        <v>38170</v>
      </c>
      <c r="I20" t="s">
        <v>21</v>
      </c>
    </row>
    <row r="21" spans="1:9" x14ac:dyDescent="0.25">
      <c r="A21" t="s">
        <v>75</v>
      </c>
      <c r="B21" t="s">
        <v>54</v>
      </c>
      <c r="C21" t="s">
        <v>34</v>
      </c>
      <c r="D21" t="s">
        <v>55</v>
      </c>
      <c r="E21">
        <v>25</v>
      </c>
      <c r="F21" t="s">
        <v>13</v>
      </c>
      <c r="G21" t="s">
        <v>60</v>
      </c>
      <c r="H21" s="2">
        <v>37017</v>
      </c>
      <c r="I21" t="s">
        <v>21</v>
      </c>
    </row>
    <row r="22" spans="1:9" x14ac:dyDescent="0.25">
      <c r="A22" t="s">
        <v>78</v>
      </c>
      <c r="B22" t="s">
        <v>54</v>
      </c>
      <c r="C22" t="s">
        <v>45</v>
      </c>
      <c r="D22" t="s">
        <v>92</v>
      </c>
      <c r="E22">
        <v>70</v>
      </c>
      <c r="F22" t="s">
        <v>13</v>
      </c>
      <c r="G22" t="s">
        <v>47</v>
      </c>
      <c r="H22" s="2">
        <v>20804</v>
      </c>
      <c r="I22" t="s">
        <v>15</v>
      </c>
    </row>
    <row r="23" spans="1:9" x14ac:dyDescent="0.25">
      <c r="A23" t="s">
        <v>80</v>
      </c>
      <c r="B23" t="s">
        <v>85</v>
      </c>
      <c r="C23" t="s">
        <v>51</v>
      </c>
      <c r="D23" t="s">
        <v>163</v>
      </c>
      <c r="E23">
        <v>62</v>
      </c>
      <c r="F23" t="s">
        <v>19</v>
      </c>
      <c r="G23" t="s">
        <v>36</v>
      </c>
      <c r="H23" s="2">
        <v>23632</v>
      </c>
      <c r="I23" t="s">
        <v>15</v>
      </c>
    </row>
    <row r="24" spans="1:9" x14ac:dyDescent="0.25">
      <c r="A24" t="s">
        <v>82</v>
      </c>
      <c r="B24" t="s">
        <v>73</v>
      </c>
      <c r="C24" t="s">
        <v>34</v>
      </c>
      <c r="D24" t="s">
        <v>74</v>
      </c>
      <c r="E24">
        <v>41</v>
      </c>
      <c r="F24" t="s">
        <v>19</v>
      </c>
      <c r="G24" t="s">
        <v>60</v>
      </c>
      <c r="H24" s="2">
        <v>31390</v>
      </c>
      <c r="I24" t="s">
        <v>30</v>
      </c>
    </row>
    <row r="25" spans="1:9" x14ac:dyDescent="0.25">
      <c r="A25" t="s">
        <v>84</v>
      </c>
      <c r="B25" t="s">
        <v>44</v>
      </c>
      <c r="C25" t="s">
        <v>67</v>
      </c>
      <c r="D25" t="s">
        <v>116</v>
      </c>
      <c r="E25">
        <v>52</v>
      </c>
      <c r="F25" t="s">
        <v>13</v>
      </c>
      <c r="G25" t="s">
        <v>47</v>
      </c>
      <c r="H25" s="2">
        <v>27186</v>
      </c>
      <c r="I25" t="s">
        <v>15</v>
      </c>
    </row>
    <row r="26" spans="1:9" x14ac:dyDescent="0.25">
      <c r="A26" t="s">
        <v>87</v>
      </c>
      <c r="B26" t="s">
        <v>41</v>
      </c>
      <c r="C26" t="s">
        <v>11</v>
      </c>
      <c r="D26" t="s">
        <v>42</v>
      </c>
      <c r="E26">
        <v>64</v>
      </c>
      <c r="F26" t="s">
        <v>13</v>
      </c>
      <c r="G26" t="s">
        <v>20</v>
      </c>
      <c r="H26" s="2">
        <v>22851</v>
      </c>
      <c r="I26" t="s">
        <v>15</v>
      </c>
    </row>
    <row r="27" spans="1:9" x14ac:dyDescent="0.25">
      <c r="A27" t="s">
        <v>88</v>
      </c>
      <c r="B27" t="s">
        <v>73</v>
      </c>
      <c r="C27" t="s">
        <v>67</v>
      </c>
      <c r="D27" t="s">
        <v>339</v>
      </c>
      <c r="E27">
        <v>38</v>
      </c>
      <c r="F27" t="s">
        <v>19</v>
      </c>
      <c r="G27" t="s">
        <v>20</v>
      </c>
      <c r="H27" s="2">
        <v>32469</v>
      </c>
      <c r="I27" t="s">
        <v>30</v>
      </c>
    </row>
    <row r="28" spans="1:9" x14ac:dyDescent="0.25">
      <c r="A28" t="s">
        <v>89</v>
      </c>
      <c r="B28" t="s">
        <v>38</v>
      </c>
      <c r="C28" t="s">
        <v>45</v>
      </c>
      <c r="D28" t="s">
        <v>172</v>
      </c>
      <c r="E28">
        <v>53</v>
      </c>
      <c r="F28" t="s">
        <v>13</v>
      </c>
      <c r="G28" t="s">
        <v>60</v>
      </c>
      <c r="H28" s="2">
        <v>26897</v>
      </c>
      <c r="I28" t="s">
        <v>15</v>
      </c>
    </row>
    <row r="29" spans="1:9" x14ac:dyDescent="0.25">
      <c r="A29" t="s">
        <v>91</v>
      </c>
      <c r="B29" t="s">
        <v>17</v>
      </c>
      <c r="C29" t="s">
        <v>34</v>
      </c>
      <c r="D29" t="s">
        <v>255</v>
      </c>
      <c r="E29">
        <v>57</v>
      </c>
      <c r="F29" t="s">
        <v>19</v>
      </c>
      <c r="G29" t="s">
        <v>20</v>
      </c>
      <c r="H29" s="2">
        <v>25280</v>
      </c>
      <c r="I29" t="s">
        <v>15</v>
      </c>
    </row>
    <row r="30" spans="1:9" x14ac:dyDescent="0.25">
      <c r="A30" t="s">
        <v>93</v>
      </c>
      <c r="B30" t="s">
        <v>41</v>
      </c>
      <c r="C30" t="s">
        <v>34</v>
      </c>
      <c r="D30" t="s">
        <v>114</v>
      </c>
      <c r="E30">
        <v>55</v>
      </c>
      <c r="F30" t="s">
        <v>13</v>
      </c>
      <c r="G30" t="s">
        <v>60</v>
      </c>
      <c r="H30" s="2">
        <v>26229</v>
      </c>
      <c r="I30" t="s">
        <v>15</v>
      </c>
    </row>
    <row r="31" spans="1:9" x14ac:dyDescent="0.25">
      <c r="A31" t="s">
        <v>95</v>
      </c>
      <c r="B31" t="s">
        <v>17</v>
      </c>
      <c r="C31" t="s">
        <v>24</v>
      </c>
      <c r="D31" t="s">
        <v>262</v>
      </c>
      <c r="E31">
        <v>21</v>
      </c>
      <c r="F31" t="s">
        <v>19</v>
      </c>
      <c r="G31" t="s">
        <v>60</v>
      </c>
      <c r="H31" s="2">
        <v>38707</v>
      </c>
      <c r="I31" t="s">
        <v>21</v>
      </c>
    </row>
    <row r="32" spans="1:9" x14ac:dyDescent="0.25">
      <c r="A32" t="s">
        <v>96</v>
      </c>
      <c r="B32" t="s">
        <v>10</v>
      </c>
      <c r="C32" t="s">
        <v>28</v>
      </c>
      <c r="D32" t="s">
        <v>194</v>
      </c>
      <c r="E32">
        <v>50</v>
      </c>
      <c r="F32" t="s">
        <v>13</v>
      </c>
      <c r="G32" t="s">
        <v>20</v>
      </c>
      <c r="H32" s="2">
        <v>27974</v>
      </c>
      <c r="I32" t="s">
        <v>15</v>
      </c>
    </row>
    <row r="33" spans="1:9" x14ac:dyDescent="0.25">
      <c r="A33" t="s">
        <v>98</v>
      </c>
      <c r="B33" t="s">
        <v>23</v>
      </c>
      <c r="C33" t="s">
        <v>34</v>
      </c>
      <c r="D33" t="s">
        <v>165</v>
      </c>
      <c r="E33">
        <v>32</v>
      </c>
      <c r="F33" t="s">
        <v>19</v>
      </c>
      <c r="G33" t="s">
        <v>36</v>
      </c>
      <c r="H33" s="2">
        <v>34598</v>
      </c>
      <c r="I33" t="s">
        <v>30</v>
      </c>
    </row>
    <row r="34" spans="1:9" x14ac:dyDescent="0.25">
      <c r="A34" t="s">
        <v>100</v>
      </c>
      <c r="B34" t="s">
        <v>10</v>
      </c>
      <c r="C34" t="s">
        <v>62</v>
      </c>
      <c r="D34" t="s">
        <v>313</v>
      </c>
      <c r="E34">
        <v>43</v>
      </c>
      <c r="F34" t="s">
        <v>13</v>
      </c>
      <c r="G34" t="s">
        <v>14</v>
      </c>
      <c r="H34" s="2">
        <v>30642</v>
      </c>
      <c r="I34" t="s">
        <v>30</v>
      </c>
    </row>
    <row r="35" spans="1:9" x14ac:dyDescent="0.25">
      <c r="A35" t="s">
        <v>102</v>
      </c>
      <c r="B35" t="s">
        <v>10</v>
      </c>
      <c r="C35" t="s">
        <v>34</v>
      </c>
      <c r="D35" t="s">
        <v>112</v>
      </c>
      <c r="E35">
        <v>49</v>
      </c>
      <c r="F35" t="s">
        <v>13</v>
      </c>
      <c r="G35" t="s">
        <v>47</v>
      </c>
      <c r="H35" s="2">
        <v>28222</v>
      </c>
      <c r="I35" t="s">
        <v>30</v>
      </c>
    </row>
    <row r="36" spans="1:9" x14ac:dyDescent="0.25">
      <c r="A36" t="s">
        <v>103</v>
      </c>
      <c r="B36" t="s">
        <v>27</v>
      </c>
      <c r="C36" t="s">
        <v>67</v>
      </c>
      <c r="D36" t="s">
        <v>211</v>
      </c>
      <c r="E36">
        <v>68</v>
      </c>
      <c r="F36" t="s">
        <v>13</v>
      </c>
      <c r="G36" t="s">
        <v>36</v>
      </c>
      <c r="H36" s="2">
        <v>21462</v>
      </c>
      <c r="I36" t="s">
        <v>15</v>
      </c>
    </row>
    <row r="37" spans="1:9" x14ac:dyDescent="0.25">
      <c r="A37" t="s">
        <v>105</v>
      </c>
      <c r="B37" t="s">
        <v>10</v>
      </c>
      <c r="C37" t="s">
        <v>62</v>
      </c>
      <c r="D37" t="s">
        <v>313</v>
      </c>
      <c r="E37">
        <v>40</v>
      </c>
      <c r="F37" t="s">
        <v>19</v>
      </c>
      <c r="G37" t="s">
        <v>14</v>
      </c>
      <c r="H37" s="2">
        <v>31692</v>
      </c>
      <c r="I37" t="s">
        <v>30</v>
      </c>
    </row>
    <row r="38" spans="1:9" x14ac:dyDescent="0.25">
      <c r="A38" t="s">
        <v>107</v>
      </c>
      <c r="B38" t="s">
        <v>54</v>
      </c>
      <c r="C38" t="s">
        <v>11</v>
      </c>
      <c r="D38" t="s">
        <v>178</v>
      </c>
      <c r="E38">
        <v>41</v>
      </c>
      <c r="F38" t="s">
        <v>19</v>
      </c>
      <c r="G38" t="s">
        <v>14</v>
      </c>
      <c r="H38" s="2">
        <v>31131</v>
      </c>
      <c r="I38" t="s">
        <v>30</v>
      </c>
    </row>
    <row r="39" spans="1:9" x14ac:dyDescent="0.25">
      <c r="A39" t="s">
        <v>109</v>
      </c>
      <c r="B39" t="s">
        <v>85</v>
      </c>
      <c r="C39" t="s">
        <v>62</v>
      </c>
      <c r="D39" t="s">
        <v>184</v>
      </c>
      <c r="E39">
        <v>44</v>
      </c>
      <c r="F39" t="s">
        <v>19</v>
      </c>
      <c r="G39" t="s">
        <v>20</v>
      </c>
      <c r="H39" s="2">
        <v>30088</v>
      </c>
      <c r="I39" t="s">
        <v>30</v>
      </c>
    </row>
    <row r="40" spans="1:9" x14ac:dyDescent="0.25">
      <c r="A40" t="s">
        <v>111</v>
      </c>
      <c r="B40" t="s">
        <v>10</v>
      </c>
      <c r="C40" t="s">
        <v>51</v>
      </c>
      <c r="D40" t="s">
        <v>148</v>
      </c>
      <c r="E40">
        <v>24</v>
      </c>
      <c r="F40" t="s">
        <v>13</v>
      </c>
      <c r="G40" t="s">
        <v>14</v>
      </c>
      <c r="H40" s="2">
        <v>37382</v>
      </c>
      <c r="I40" t="s">
        <v>21</v>
      </c>
    </row>
    <row r="41" spans="1:9" x14ac:dyDescent="0.25">
      <c r="A41" t="s">
        <v>113</v>
      </c>
      <c r="B41" t="s">
        <v>23</v>
      </c>
      <c r="C41" t="s">
        <v>51</v>
      </c>
      <c r="D41" t="s">
        <v>187</v>
      </c>
      <c r="E41">
        <v>42</v>
      </c>
      <c r="F41" t="s">
        <v>19</v>
      </c>
      <c r="G41" t="s">
        <v>36</v>
      </c>
      <c r="H41" s="2">
        <v>31024</v>
      </c>
      <c r="I41" t="s">
        <v>30</v>
      </c>
    </row>
    <row r="42" spans="1:9" x14ac:dyDescent="0.25">
      <c r="A42" t="s">
        <v>115</v>
      </c>
      <c r="B42" t="s">
        <v>27</v>
      </c>
      <c r="C42" t="s">
        <v>34</v>
      </c>
      <c r="D42" t="s">
        <v>35</v>
      </c>
      <c r="E42">
        <v>51</v>
      </c>
      <c r="F42" t="s">
        <v>19</v>
      </c>
      <c r="G42" t="s">
        <v>14</v>
      </c>
      <c r="H42" s="2">
        <v>27747</v>
      </c>
      <c r="I42" t="s">
        <v>15</v>
      </c>
    </row>
    <row r="43" spans="1:9" x14ac:dyDescent="0.25">
      <c r="A43" t="s">
        <v>117</v>
      </c>
      <c r="B43" t="s">
        <v>73</v>
      </c>
      <c r="C43" t="s">
        <v>67</v>
      </c>
      <c r="D43" t="s">
        <v>339</v>
      </c>
      <c r="E43">
        <v>64</v>
      </c>
      <c r="F43" t="s">
        <v>19</v>
      </c>
      <c r="G43" t="s">
        <v>36</v>
      </c>
      <c r="H43" s="2">
        <v>22726</v>
      </c>
      <c r="I43" t="s">
        <v>15</v>
      </c>
    </row>
    <row r="44" spans="1:9" x14ac:dyDescent="0.25">
      <c r="A44" t="s">
        <v>119</v>
      </c>
      <c r="B44" t="s">
        <v>54</v>
      </c>
      <c r="C44" t="s">
        <v>34</v>
      </c>
      <c r="D44" t="s">
        <v>55</v>
      </c>
      <c r="E44">
        <v>63</v>
      </c>
      <c r="F44" t="s">
        <v>19</v>
      </c>
      <c r="G44" t="s">
        <v>47</v>
      </c>
      <c r="H44" s="2">
        <v>23332</v>
      </c>
      <c r="I44" t="s">
        <v>15</v>
      </c>
    </row>
    <row r="45" spans="1:9" x14ac:dyDescent="0.25">
      <c r="A45" t="s">
        <v>121</v>
      </c>
      <c r="B45" t="s">
        <v>17</v>
      </c>
      <c r="C45" t="s">
        <v>45</v>
      </c>
      <c r="D45" t="s">
        <v>192</v>
      </c>
      <c r="E45">
        <v>57</v>
      </c>
      <c r="F45" t="s">
        <v>13</v>
      </c>
      <c r="G45" t="s">
        <v>47</v>
      </c>
      <c r="H45" s="2">
        <v>25410</v>
      </c>
      <c r="I45" t="s">
        <v>15</v>
      </c>
    </row>
    <row r="46" spans="1:9" x14ac:dyDescent="0.25">
      <c r="A46" t="s">
        <v>123</v>
      </c>
      <c r="B46" t="s">
        <v>23</v>
      </c>
      <c r="C46" t="s">
        <v>51</v>
      </c>
      <c r="D46" t="s">
        <v>187</v>
      </c>
      <c r="E46">
        <v>26</v>
      </c>
      <c r="F46" t="s">
        <v>19</v>
      </c>
      <c r="G46" t="s">
        <v>60</v>
      </c>
      <c r="H46" s="2">
        <v>36551</v>
      </c>
      <c r="I46" t="s">
        <v>21</v>
      </c>
    </row>
    <row r="47" spans="1:9" x14ac:dyDescent="0.25">
      <c r="A47" t="s">
        <v>125</v>
      </c>
      <c r="B47" t="s">
        <v>41</v>
      </c>
      <c r="C47" t="s">
        <v>34</v>
      </c>
      <c r="D47" t="s">
        <v>114</v>
      </c>
      <c r="E47">
        <v>68</v>
      </c>
      <c r="F47" t="s">
        <v>19</v>
      </c>
      <c r="G47" t="s">
        <v>14</v>
      </c>
      <c r="H47" s="2">
        <v>21232</v>
      </c>
      <c r="I47" t="s">
        <v>15</v>
      </c>
    </row>
    <row r="48" spans="1:9" x14ac:dyDescent="0.25">
      <c r="A48" t="s">
        <v>127</v>
      </c>
      <c r="B48" t="s">
        <v>38</v>
      </c>
      <c r="C48" t="s">
        <v>28</v>
      </c>
      <c r="D48" t="s">
        <v>182</v>
      </c>
      <c r="E48">
        <v>33</v>
      </c>
      <c r="F48" t="s">
        <v>19</v>
      </c>
      <c r="G48" t="s">
        <v>36</v>
      </c>
      <c r="H48" s="2">
        <v>34320</v>
      </c>
      <c r="I48" t="s">
        <v>30</v>
      </c>
    </row>
    <row r="49" spans="1:9" x14ac:dyDescent="0.25">
      <c r="A49" t="s">
        <v>128</v>
      </c>
      <c r="B49" t="s">
        <v>41</v>
      </c>
      <c r="C49" t="s">
        <v>70</v>
      </c>
      <c r="D49" t="s">
        <v>169</v>
      </c>
      <c r="E49">
        <v>45</v>
      </c>
      <c r="F49" t="s">
        <v>13</v>
      </c>
      <c r="G49" t="s">
        <v>14</v>
      </c>
      <c r="H49" s="2">
        <v>29850</v>
      </c>
      <c r="I49" t="s">
        <v>30</v>
      </c>
    </row>
    <row r="50" spans="1:9" x14ac:dyDescent="0.25">
      <c r="A50" t="s">
        <v>129</v>
      </c>
      <c r="B50" t="s">
        <v>23</v>
      </c>
      <c r="C50" t="s">
        <v>62</v>
      </c>
      <c r="D50" t="s">
        <v>273</v>
      </c>
      <c r="E50">
        <v>67</v>
      </c>
      <c r="F50" t="s">
        <v>19</v>
      </c>
      <c r="G50" t="s">
        <v>47</v>
      </c>
      <c r="H50" s="2">
        <v>21568</v>
      </c>
      <c r="I50" t="s">
        <v>15</v>
      </c>
    </row>
    <row r="51" spans="1:9" x14ac:dyDescent="0.25">
      <c r="A51" t="s">
        <v>131</v>
      </c>
      <c r="B51" t="s">
        <v>23</v>
      </c>
      <c r="C51" t="s">
        <v>62</v>
      </c>
      <c r="D51" t="s">
        <v>273</v>
      </c>
      <c r="E51">
        <v>67</v>
      </c>
      <c r="F51" t="s">
        <v>13</v>
      </c>
      <c r="G51" t="s">
        <v>60</v>
      </c>
      <c r="H51" s="2">
        <v>21708</v>
      </c>
      <c r="I51" t="s">
        <v>15</v>
      </c>
    </row>
    <row r="52" spans="1:9" x14ac:dyDescent="0.25">
      <c r="A52" t="s">
        <v>132</v>
      </c>
      <c r="B52" t="s">
        <v>38</v>
      </c>
      <c r="C52" t="s">
        <v>24</v>
      </c>
      <c r="D52" t="s">
        <v>39</v>
      </c>
      <c r="E52">
        <v>44</v>
      </c>
      <c r="F52" t="s">
        <v>13</v>
      </c>
      <c r="G52" t="s">
        <v>20</v>
      </c>
      <c r="H52" s="2">
        <v>30112</v>
      </c>
      <c r="I52" t="s">
        <v>30</v>
      </c>
    </row>
    <row r="53" spans="1:9" x14ac:dyDescent="0.25">
      <c r="A53" t="s">
        <v>134</v>
      </c>
      <c r="B53" t="s">
        <v>54</v>
      </c>
      <c r="C53" t="s">
        <v>34</v>
      </c>
      <c r="D53" t="s">
        <v>55</v>
      </c>
      <c r="E53">
        <v>34</v>
      </c>
      <c r="F53" t="s">
        <v>13</v>
      </c>
      <c r="G53" t="s">
        <v>14</v>
      </c>
      <c r="H53" s="2">
        <v>33736</v>
      </c>
      <c r="I53" t="s">
        <v>30</v>
      </c>
    </row>
    <row r="54" spans="1:9" x14ac:dyDescent="0.25">
      <c r="A54" t="s">
        <v>136</v>
      </c>
      <c r="B54" t="s">
        <v>54</v>
      </c>
      <c r="C54" t="s">
        <v>51</v>
      </c>
      <c r="D54" t="s">
        <v>104</v>
      </c>
      <c r="E54">
        <v>54</v>
      </c>
      <c r="F54" t="s">
        <v>19</v>
      </c>
      <c r="G54" t="s">
        <v>36</v>
      </c>
      <c r="H54" s="2">
        <v>26553</v>
      </c>
      <c r="I54" t="s">
        <v>15</v>
      </c>
    </row>
    <row r="55" spans="1:9" x14ac:dyDescent="0.25">
      <c r="A55" t="s">
        <v>138</v>
      </c>
      <c r="B55" t="s">
        <v>38</v>
      </c>
      <c r="C55" t="s">
        <v>76</v>
      </c>
      <c r="D55" t="s">
        <v>118</v>
      </c>
      <c r="E55">
        <v>42</v>
      </c>
      <c r="F55" t="s">
        <v>19</v>
      </c>
      <c r="G55" t="s">
        <v>60</v>
      </c>
      <c r="H55" s="2">
        <v>30931</v>
      </c>
      <c r="I55" t="s">
        <v>30</v>
      </c>
    </row>
    <row r="56" spans="1:9" x14ac:dyDescent="0.25">
      <c r="A56" t="s">
        <v>140</v>
      </c>
      <c r="B56" t="s">
        <v>73</v>
      </c>
      <c r="C56" t="s">
        <v>28</v>
      </c>
      <c r="D56" t="s">
        <v>189</v>
      </c>
      <c r="E56">
        <v>23</v>
      </c>
      <c r="F56" t="s">
        <v>19</v>
      </c>
      <c r="G56" t="s">
        <v>47</v>
      </c>
      <c r="H56" s="2">
        <v>37733</v>
      </c>
      <c r="I56" t="s">
        <v>21</v>
      </c>
    </row>
    <row r="57" spans="1:9" x14ac:dyDescent="0.25">
      <c r="A57" t="s">
        <v>141</v>
      </c>
      <c r="B57" t="s">
        <v>38</v>
      </c>
      <c r="C57" t="s">
        <v>34</v>
      </c>
      <c r="D57" t="s">
        <v>49</v>
      </c>
      <c r="E57">
        <v>47</v>
      </c>
      <c r="F57" t="s">
        <v>19</v>
      </c>
      <c r="G57" t="s">
        <v>47</v>
      </c>
      <c r="H57" s="2">
        <v>28957</v>
      </c>
      <c r="I57" t="s">
        <v>30</v>
      </c>
    </row>
    <row r="58" spans="1:9" x14ac:dyDescent="0.25">
      <c r="A58" t="s">
        <v>143</v>
      </c>
      <c r="B58" t="s">
        <v>23</v>
      </c>
      <c r="C58" t="s">
        <v>45</v>
      </c>
      <c r="D58" t="s">
        <v>206</v>
      </c>
      <c r="E58">
        <v>60</v>
      </c>
      <c r="F58" t="s">
        <v>13</v>
      </c>
      <c r="G58" t="s">
        <v>36</v>
      </c>
      <c r="H58" s="2">
        <v>24359</v>
      </c>
      <c r="I58" t="s">
        <v>15</v>
      </c>
    </row>
    <row r="59" spans="1:9" x14ac:dyDescent="0.25">
      <c r="A59" t="s">
        <v>144</v>
      </c>
      <c r="B59" t="s">
        <v>73</v>
      </c>
      <c r="C59" t="s">
        <v>34</v>
      </c>
      <c r="D59" t="s">
        <v>74</v>
      </c>
      <c r="E59">
        <v>38</v>
      </c>
      <c r="F59" t="s">
        <v>19</v>
      </c>
      <c r="G59" t="s">
        <v>20</v>
      </c>
      <c r="H59" s="2">
        <v>32488</v>
      </c>
      <c r="I59" t="s">
        <v>30</v>
      </c>
    </row>
    <row r="60" spans="1:9" x14ac:dyDescent="0.25">
      <c r="A60" t="s">
        <v>145</v>
      </c>
      <c r="B60" t="s">
        <v>23</v>
      </c>
      <c r="C60" t="s">
        <v>34</v>
      </c>
      <c r="D60" t="s">
        <v>165</v>
      </c>
      <c r="E60">
        <v>44</v>
      </c>
      <c r="F60" t="s">
        <v>19</v>
      </c>
      <c r="G60" t="s">
        <v>14</v>
      </c>
      <c r="H60" s="2">
        <v>30216</v>
      </c>
      <c r="I60" t="s">
        <v>30</v>
      </c>
    </row>
    <row r="61" spans="1:9" x14ac:dyDescent="0.25">
      <c r="A61" t="s">
        <v>146</v>
      </c>
      <c r="B61" t="s">
        <v>38</v>
      </c>
      <c r="C61" t="s">
        <v>51</v>
      </c>
      <c r="D61" t="s">
        <v>52</v>
      </c>
      <c r="E61">
        <v>28</v>
      </c>
      <c r="F61" t="s">
        <v>13</v>
      </c>
      <c r="G61" t="s">
        <v>36</v>
      </c>
      <c r="H61" s="2">
        <v>36003</v>
      </c>
      <c r="I61" t="s">
        <v>21</v>
      </c>
    </row>
    <row r="62" spans="1:9" x14ac:dyDescent="0.25">
      <c r="A62" t="s">
        <v>147</v>
      </c>
      <c r="B62" t="s">
        <v>38</v>
      </c>
      <c r="C62" t="s">
        <v>24</v>
      </c>
      <c r="D62" t="s">
        <v>39</v>
      </c>
      <c r="E62">
        <v>66</v>
      </c>
      <c r="F62" t="s">
        <v>13</v>
      </c>
      <c r="G62" t="s">
        <v>20</v>
      </c>
      <c r="H62" s="2">
        <v>21977</v>
      </c>
      <c r="I62" t="s">
        <v>15</v>
      </c>
    </row>
    <row r="63" spans="1:9" x14ac:dyDescent="0.25">
      <c r="A63" t="s">
        <v>149</v>
      </c>
      <c r="B63" t="s">
        <v>10</v>
      </c>
      <c r="C63" t="s">
        <v>24</v>
      </c>
      <c r="D63" t="s">
        <v>282</v>
      </c>
      <c r="E63">
        <v>53</v>
      </c>
      <c r="F63" t="s">
        <v>19</v>
      </c>
      <c r="G63" t="s">
        <v>47</v>
      </c>
      <c r="H63" s="2">
        <v>26721</v>
      </c>
      <c r="I63" t="s">
        <v>15</v>
      </c>
    </row>
    <row r="64" spans="1:9" x14ac:dyDescent="0.25">
      <c r="A64" t="s">
        <v>151</v>
      </c>
      <c r="B64" t="s">
        <v>27</v>
      </c>
      <c r="C64" t="s">
        <v>11</v>
      </c>
      <c r="D64" t="s">
        <v>79</v>
      </c>
      <c r="E64">
        <v>25</v>
      </c>
      <c r="F64" t="s">
        <v>19</v>
      </c>
      <c r="G64" t="s">
        <v>47</v>
      </c>
      <c r="H64" s="2">
        <v>36916</v>
      </c>
      <c r="I64" t="s">
        <v>21</v>
      </c>
    </row>
    <row r="65" spans="1:9" x14ac:dyDescent="0.25">
      <c r="A65" t="s">
        <v>153</v>
      </c>
      <c r="B65" t="s">
        <v>44</v>
      </c>
      <c r="C65" t="s">
        <v>76</v>
      </c>
      <c r="D65" t="s">
        <v>77</v>
      </c>
      <c r="E65">
        <v>24</v>
      </c>
      <c r="F65" t="s">
        <v>19</v>
      </c>
      <c r="G65" t="s">
        <v>47</v>
      </c>
      <c r="H65" s="2">
        <v>37356</v>
      </c>
      <c r="I65" t="s">
        <v>21</v>
      </c>
    </row>
    <row r="66" spans="1:9" x14ac:dyDescent="0.25">
      <c r="A66" t="s">
        <v>154</v>
      </c>
      <c r="B66" t="s">
        <v>10</v>
      </c>
      <c r="C66" t="s">
        <v>11</v>
      </c>
      <c r="D66" t="s">
        <v>12</v>
      </c>
      <c r="E66">
        <v>50</v>
      </c>
      <c r="F66" t="s">
        <v>13</v>
      </c>
      <c r="G66" t="s">
        <v>60</v>
      </c>
      <c r="H66" s="2">
        <v>27845</v>
      </c>
      <c r="I66" t="s">
        <v>15</v>
      </c>
    </row>
    <row r="67" spans="1:9" x14ac:dyDescent="0.25">
      <c r="A67" t="s">
        <v>156</v>
      </c>
      <c r="B67" t="s">
        <v>41</v>
      </c>
      <c r="C67" t="s">
        <v>51</v>
      </c>
      <c r="D67" t="s">
        <v>57</v>
      </c>
      <c r="E67">
        <v>60</v>
      </c>
      <c r="F67" t="s">
        <v>19</v>
      </c>
      <c r="G67" t="s">
        <v>14</v>
      </c>
      <c r="H67" s="2">
        <v>24280</v>
      </c>
      <c r="I67" t="s">
        <v>15</v>
      </c>
    </row>
    <row r="68" spans="1:9" x14ac:dyDescent="0.25">
      <c r="A68" t="s">
        <v>157</v>
      </c>
      <c r="B68" t="s">
        <v>54</v>
      </c>
      <c r="C68" t="s">
        <v>28</v>
      </c>
      <c r="D68" t="s">
        <v>416</v>
      </c>
      <c r="E68">
        <v>35</v>
      </c>
      <c r="F68" t="s">
        <v>13</v>
      </c>
      <c r="G68" t="s">
        <v>47</v>
      </c>
      <c r="H68" s="2">
        <v>33598</v>
      </c>
      <c r="I68" t="s">
        <v>30</v>
      </c>
    </row>
    <row r="69" spans="1:9" x14ac:dyDescent="0.25">
      <c r="A69" t="s">
        <v>159</v>
      </c>
      <c r="B69" t="s">
        <v>23</v>
      </c>
      <c r="C69" t="s">
        <v>28</v>
      </c>
      <c r="D69" t="s">
        <v>59</v>
      </c>
      <c r="E69">
        <v>25</v>
      </c>
      <c r="F69" t="s">
        <v>19</v>
      </c>
      <c r="G69" t="s">
        <v>36</v>
      </c>
      <c r="H69" s="2">
        <v>37242</v>
      </c>
      <c r="I69" t="s">
        <v>21</v>
      </c>
    </row>
    <row r="70" spans="1:9" x14ac:dyDescent="0.25">
      <c r="A70" t="s">
        <v>160</v>
      </c>
      <c r="B70" t="s">
        <v>54</v>
      </c>
      <c r="C70" t="s">
        <v>76</v>
      </c>
      <c r="D70" t="s">
        <v>325</v>
      </c>
      <c r="E70">
        <v>53</v>
      </c>
      <c r="F70" t="s">
        <v>13</v>
      </c>
      <c r="G70" t="s">
        <v>20</v>
      </c>
      <c r="H70" s="2">
        <v>26920</v>
      </c>
      <c r="I70" t="s">
        <v>15</v>
      </c>
    </row>
    <row r="71" spans="1:9" x14ac:dyDescent="0.25">
      <c r="A71" t="s">
        <v>161</v>
      </c>
      <c r="B71" t="s">
        <v>54</v>
      </c>
      <c r="C71" t="s">
        <v>45</v>
      </c>
      <c r="D71" t="s">
        <v>92</v>
      </c>
      <c r="E71">
        <v>69</v>
      </c>
      <c r="F71" t="s">
        <v>19</v>
      </c>
      <c r="G71" t="s">
        <v>20</v>
      </c>
      <c r="H71" s="2">
        <v>20861</v>
      </c>
      <c r="I71" t="s">
        <v>15</v>
      </c>
    </row>
    <row r="72" spans="1:9" x14ac:dyDescent="0.25">
      <c r="A72" t="s">
        <v>162</v>
      </c>
      <c r="B72" t="s">
        <v>38</v>
      </c>
      <c r="C72" t="s">
        <v>62</v>
      </c>
      <c r="D72" t="s">
        <v>139</v>
      </c>
      <c r="E72">
        <v>26</v>
      </c>
      <c r="F72" t="s">
        <v>13</v>
      </c>
      <c r="G72" t="s">
        <v>60</v>
      </c>
      <c r="H72" s="2">
        <v>36623</v>
      </c>
      <c r="I72" t="s">
        <v>21</v>
      </c>
    </row>
    <row r="73" spans="1:9" x14ac:dyDescent="0.25">
      <c r="A73" t="s">
        <v>164</v>
      </c>
      <c r="B73" t="s">
        <v>41</v>
      </c>
      <c r="C73" t="s">
        <v>76</v>
      </c>
      <c r="D73" t="s">
        <v>276</v>
      </c>
      <c r="E73">
        <v>42</v>
      </c>
      <c r="F73" t="s">
        <v>19</v>
      </c>
      <c r="G73" t="s">
        <v>20</v>
      </c>
      <c r="H73" s="2">
        <v>30737</v>
      </c>
      <c r="I73" t="s">
        <v>30</v>
      </c>
    </row>
    <row r="74" spans="1:9" x14ac:dyDescent="0.25">
      <c r="A74" t="s">
        <v>166</v>
      </c>
      <c r="B74" t="s">
        <v>44</v>
      </c>
      <c r="C74" t="s">
        <v>45</v>
      </c>
      <c r="D74" t="s">
        <v>46</v>
      </c>
      <c r="E74">
        <v>20</v>
      </c>
      <c r="F74" t="s">
        <v>19</v>
      </c>
      <c r="G74" t="s">
        <v>47</v>
      </c>
      <c r="H74" s="2">
        <v>38883</v>
      </c>
      <c r="I74" t="s">
        <v>21</v>
      </c>
    </row>
    <row r="75" spans="1:9" x14ac:dyDescent="0.25">
      <c r="A75" t="s">
        <v>168</v>
      </c>
      <c r="B75" t="s">
        <v>41</v>
      </c>
      <c r="C75" t="s">
        <v>28</v>
      </c>
      <c r="D75" t="s">
        <v>224</v>
      </c>
      <c r="E75">
        <v>57</v>
      </c>
      <c r="F75" t="s">
        <v>19</v>
      </c>
      <c r="G75" t="s">
        <v>14</v>
      </c>
      <c r="H75" s="2">
        <v>25268</v>
      </c>
      <c r="I75" t="s">
        <v>15</v>
      </c>
    </row>
    <row r="76" spans="1:9" x14ac:dyDescent="0.25">
      <c r="A76" t="s">
        <v>170</v>
      </c>
      <c r="B76" t="s">
        <v>54</v>
      </c>
      <c r="C76" t="s">
        <v>24</v>
      </c>
      <c r="D76" t="s">
        <v>176</v>
      </c>
      <c r="E76">
        <v>33</v>
      </c>
      <c r="F76" t="s">
        <v>13</v>
      </c>
      <c r="G76" t="s">
        <v>47</v>
      </c>
      <c r="H76" s="2">
        <v>34185</v>
      </c>
      <c r="I76" t="s">
        <v>30</v>
      </c>
    </row>
    <row r="77" spans="1:9" x14ac:dyDescent="0.25">
      <c r="A77" t="s">
        <v>171</v>
      </c>
      <c r="B77" t="s">
        <v>17</v>
      </c>
      <c r="C77" t="s">
        <v>76</v>
      </c>
      <c r="D77" t="s">
        <v>265</v>
      </c>
      <c r="E77">
        <v>59</v>
      </c>
      <c r="F77" t="s">
        <v>13</v>
      </c>
      <c r="G77" t="s">
        <v>14</v>
      </c>
      <c r="H77" s="2">
        <v>24752</v>
      </c>
      <c r="I77" t="s">
        <v>15</v>
      </c>
    </row>
    <row r="78" spans="1:9" x14ac:dyDescent="0.25">
      <c r="A78" t="s">
        <v>173</v>
      </c>
      <c r="B78" t="s">
        <v>73</v>
      </c>
      <c r="C78" t="s">
        <v>76</v>
      </c>
      <c r="D78" t="s">
        <v>267</v>
      </c>
      <c r="E78">
        <v>66</v>
      </c>
      <c r="F78" t="s">
        <v>19</v>
      </c>
      <c r="G78" t="s">
        <v>36</v>
      </c>
      <c r="H78" s="2">
        <v>22175</v>
      </c>
      <c r="I78" t="s">
        <v>15</v>
      </c>
    </row>
    <row r="79" spans="1:9" x14ac:dyDescent="0.25">
      <c r="A79" t="s">
        <v>175</v>
      </c>
      <c r="B79" t="s">
        <v>23</v>
      </c>
      <c r="C79" t="s">
        <v>51</v>
      </c>
      <c r="D79" t="s">
        <v>187</v>
      </c>
      <c r="E79">
        <v>57</v>
      </c>
      <c r="F79" t="s">
        <v>19</v>
      </c>
      <c r="G79" t="s">
        <v>36</v>
      </c>
      <c r="H79" s="2">
        <v>25365</v>
      </c>
      <c r="I79" t="s">
        <v>15</v>
      </c>
    </row>
    <row r="80" spans="1:9" x14ac:dyDescent="0.25">
      <c r="A80" t="s">
        <v>177</v>
      </c>
      <c r="B80" t="s">
        <v>38</v>
      </c>
      <c r="C80" t="s">
        <v>34</v>
      </c>
      <c r="D80" t="s">
        <v>49</v>
      </c>
      <c r="E80">
        <v>24</v>
      </c>
      <c r="F80" t="s">
        <v>13</v>
      </c>
      <c r="G80" t="s">
        <v>20</v>
      </c>
      <c r="H80" s="2">
        <v>37535</v>
      </c>
      <c r="I80" t="s">
        <v>21</v>
      </c>
    </row>
    <row r="81" spans="1:9" x14ac:dyDescent="0.25">
      <c r="A81" t="s">
        <v>179</v>
      </c>
      <c r="B81" t="s">
        <v>41</v>
      </c>
      <c r="C81" t="s">
        <v>28</v>
      </c>
      <c r="D81" t="s">
        <v>224</v>
      </c>
      <c r="E81">
        <v>24</v>
      </c>
      <c r="F81" t="s">
        <v>19</v>
      </c>
      <c r="G81" t="s">
        <v>47</v>
      </c>
      <c r="H81" s="2">
        <v>37340</v>
      </c>
      <c r="I81" t="s">
        <v>21</v>
      </c>
    </row>
    <row r="82" spans="1:9" x14ac:dyDescent="0.25">
      <c r="A82" t="s">
        <v>180</v>
      </c>
      <c r="B82" t="s">
        <v>44</v>
      </c>
      <c r="C82" t="s">
        <v>45</v>
      </c>
      <c r="D82" t="s">
        <v>46</v>
      </c>
      <c r="E82">
        <v>25</v>
      </c>
      <c r="F82" t="s">
        <v>13</v>
      </c>
      <c r="G82" t="s">
        <v>36</v>
      </c>
      <c r="H82" s="2">
        <v>37085</v>
      </c>
      <c r="I82" t="s">
        <v>21</v>
      </c>
    </row>
    <row r="83" spans="1:9" x14ac:dyDescent="0.25">
      <c r="A83" t="s">
        <v>181</v>
      </c>
      <c r="B83" t="s">
        <v>73</v>
      </c>
      <c r="C83" t="s">
        <v>62</v>
      </c>
      <c r="D83" t="s">
        <v>135</v>
      </c>
      <c r="E83">
        <v>20</v>
      </c>
      <c r="F83" t="s">
        <v>19</v>
      </c>
      <c r="G83" t="s">
        <v>14</v>
      </c>
      <c r="H83" s="2">
        <v>39011</v>
      </c>
      <c r="I83" t="s">
        <v>21</v>
      </c>
    </row>
    <row r="84" spans="1:9" x14ac:dyDescent="0.25">
      <c r="A84" t="s">
        <v>183</v>
      </c>
      <c r="B84" t="s">
        <v>38</v>
      </c>
      <c r="C84" t="s">
        <v>70</v>
      </c>
      <c r="D84" t="s">
        <v>399</v>
      </c>
      <c r="E84">
        <v>22</v>
      </c>
      <c r="F84" t="s">
        <v>19</v>
      </c>
      <c r="G84" t="s">
        <v>36</v>
      </c>
      <c r="H84" s="2">
        <v>38242</v>
      </c>
      <c r="I84" t="s">
        <v>21</v>
      </c>
    </row>
    <row r="85" spans="1:9" x14ac:dyDescent="0.25">
      <c r="A85" t="s">
        <v>185</v>
      </c>
      <c r="B85" t="s">
        <v>38</v>
      </c>
      <c r="C85" t="s">
        <v>45</v>
      </c>
      <c r="D85" t="s">
        <v>172</v>
      </c>
      <c r="E85">
        <v>70</v>
      </c>
      <c r="F85" t="s">
        <v>19</v>
      </c>
      <c r="G85" t="s">
        <v>20</v>
      </c>
      <c r="H85" s="2">
        <v>20704</v>
      </c>
      <c r="I85" t="s">
        <v>15</v>
      </c>
    </row>
    <row r="86" spans="1:9" x14ac:dyDescent="0.25">
      <c r="A86" t="s">
        <v>186</v>
      </c>
      <c r="B86" t="s">
        <v>10</v>
      </c>
      <c r="C86" t="s">
        <v>67</v>
      </c>
      <c r="D86" t="s">
        <v>68</v>
      </c>
      <c r="E86">
        <v>69</v>
      </c>
      <c r="F86" t="s">
        <v>13</v>
      </c>
      <c r="G86" t="s">
        <v>36</v>
      </c>
      <c r="H86" s="2">
        <v>21045</v>
      </c>
      <c r="I86" t="s">
        <v>15</v>
      </c>
    </row>
    <row r="87" spans="1:9" x14ac:dyDescent="0.25">
      <c r="A87" t="s">
        <v>188</v>
      </c>
      <c r="B87" t="s">
        <v>54</v>
      </c>
      <c r="C87" t="s">
        <v>62</v>
      </c>
      <c r="D87" t="s">
        <v>329</v>
      </c>
      <c r="E87">
        <v>36</v>
      </c>
      <c r="F87" t="s">
        <v>19</v>
      </c>
      <c r="G87" t="s">
        <v>47</v>
      </c>
      <c r="H87" s="2">
        <v>32878</v>
      </c>
      <c r="I87" t="s">
        <v>30</v>
      </c>
    </row>
    <row r="88" spans="1:9" x14ac:dyDescent="0.25">
      <c r="A88" t="s">
        <v>190</v>
      </c>
      <c r="B88" t="s">
        <v>73</v>
      </c>
      <c r="C88" t="s">
        <v>34</v>
      </c>
      <c r="D88" t="s">
        <v>74</v>
      </c>
      <c r="E88">
        <v>49</v>
      </c>
      <c r="F88" t="s">
        <v>19</v>
      </c>
      <c r="G88" t="s">
        <v>47</v>
      </c>
      <c r="H88" s="2">
        <v>28403</v>
      </c>
      <c r="I88" t="s">
        <v>30</v>
      </c>
    </row>
    <row r="89" spans="1:9" x14ac:dyDescent="0.25">
      <c r="A89" t="s">
        <v>191</v>
      </c>
      <c r="B89" t="s">
        <v>27</v>
      </c>
      <c r="C89" t="s">
        <v>28</v>
      </c>
      <c r="D89" t="s">
        <v>29</v>
      </c>
      <c r="E89">
        <v>43</v>
      </c>
      <c r="F89" t="s">
        <v>13</v>
      </c>
      <c r="G89" t="s">
        <v>47</v>
      </c>
      <c r="H89" s="2">
        <v>30378</v>
      </c>
      <c r="I89" t="s">
        <v>30</v>
      </c>
    </row>
    <row r="90" spans="1:9" x14ac:dyDescent="0.25">
      <c r="A90" t="s">
        <v>193</v>
      </c>
      <c r="B90" t="s">
        <v>44</v>
      </c>
      <c r="C90" t="s">
        <v>62</v>
      </c>
      <c r="D90" t="s">
        <v>130</v>
      </c>
      <c r="E90">
        <v>48</v>
      </c>
      <c r="F90" t="s">
        <v>13</v>
      </c>
      <c r="G90" t="s">
        <v>20</v>
      </c>
      <c r="H90" s="2">
        <v>28632</v>
      </c>
      <c r="I90" t="s">
        <v>30</v>
      </c>
    </row>
    <row r="91" spans="1:9" x14ac:dyDescent="0.25">
      <c r="A91" t="s">
        <v>195</v>
      </c>
      <c r="B91" t="s">
        <v>17</v>
      </c>
      <c r="C91" t="s">
        <v>70</v>
      </c>
      <c r="D91" t="s">
        <v>110</v>
      </c>
      <c r="E91">
        <v>60</v>
      </c>
      <c r="F91" t="s">
        <v>13</v>
      </c>
      <c r="G91" t="s">
        <v>14</v>
      </c>
      <c r="H91" s="2">
        <v>24336</v>
      </c>
      <c r="I91" t="s">
        <v>15</v>
      </c>
    </row>
    <row r="92" spans="1:9" x14ac:dyDescent="0.25">
      <c r="A92" t="s">
        <v>196</v>
      </c>
      <c r="B92" t="s">
        <v>10</v>
      </c>
      <c r="C92" t="s">
        <v>34</v>
      </c>
      <c r="D92" t="s">
        <v>112</v>
      </c>
      <c r="E92">
        <v>40</v>
      </c>
      <c r="F92" t="s">
        <v>13</v>
      </c>
      <c r="G92" t="s">
        <v>60</v>
      </c>
      <c r="H92" s="2">
        <v>31521</v>
      </c>
      <c r="I92" t="s">
        <v>30</v>
      </c>
    </row>
    <row r="93" spans="1:9" x14ac:dyDescent="0.25">
      <c r="A93" t="s">
        <v>198</v>
      </c>
      <c r="B93" t="s">
        <v>17</v>
      </c>
      <c r="C93" t="s">
        <v>34</v>
      </c>
      <c r="D93" t="s">
        <v>255</v>
      </c>
      <c r="E93">
        <v>38</v>
      </c>
      <c r="F93" t="s">
        <v>19</v>
      </c>
      <c r="G93" t="s">
        <v>20</v>
      </c>
      <c r="H93" s="2">
        <v>32312</v>
      </c>
      <c r="I93" t="s">
        <v>30</v>
      </c>
    </row>
    <row r="94" spans="1:9" x14ac:dyDescent="0.25">
      <c r="A94" t="s">
        <v>199</v>
      </c>
      <c r="B94" t="s">
        <v>54</v>
      </c>
      <c r="C94" t="s">
        <v>76</v>
      </c>
      <c r="D94" t="s">
        <v>325</v>
      </c>
      <c r="E94">
        <v>36</v>
      </c>
      <c r="F94" t="s">
        <v>13</v>
      </c>
      <c r="G94" t="s">
        <v>47</v>
      </c>
      <c r="H94" s="2">
        <v>33126</v>
      </c>
      <c r="I94" t="s">
        <v>30</v>
      </c>
    </row>
    <row r="95" spans="1:9" x14ac:dyDescent="0.25">
      <c r="A95" t="s">
        <v>200</v>
      </c>
      <c r="B95" t="s">
        <v>73</v>
      </c>
      <c r="C95" t="s">
        <v>67</v>
      </c>
      <c r="D95" t="s">
        <v>339</v>
      </c>
      <c r="E95">
        <v>43</v>
      </c>
      <c r="F95" t="s">
        <v>13</v>
      </c>
      <c r="G95" t="s">
        <v>60</v>
      </c>
      <c r="H95" s="2">
        <v>30509</v>
      </c>
      <c r="I95" t="s">
        <v>30</v>
      </c>
    </row>
    <row r="96" spans="1:9" x14ac:dyDescent="0.25">
      <c r="A96" t="s">
        <v>201</v>
      </c>
      <c r="B96" t="s">
        <v>23</v>
      </c>
      <c r="C96" t="s">
        <v>62</v>
      </c>
      <c r="D96" t="s">
        <v>273</v>
      </c>
      <c r="E96">
        <v>46</v>
      </c>
      <c r="F96" t="s">
        <v>13</v>
      </c>
      <c r="G96" t="s">
        <v>14</v>
      </c>
      <c r="H96" s="2">
        <v>29297</v>
      </c>
      <c r="I96" t="s">
        <v>30</v>
      </c>
    </row>
    <row r="97" spans="1:9" x14ac:dyDescent="0.25">
      <c r="A97" t="s">
        <v>203</v>
      </c>
      <c r="B97" t="s">
        <v>44</v>
      </c>
      <c r="C97" t="s">
        <v>70</v>
      </c>
      <c r="D97" t="s">
        <v>101</v>
      </c>
      <c r="E97">
        <v>42</v>
      </c>
      <c r="F97" t="s">
        <v>13</v>
      </c>
      <c r="G97" t="s">
        <v>36</v>
      </c>
      <c r="H97" s="2">
        <v>30919</v>
      </c>
      <c r="I97" t="s">
        <v>30</v>
      </c>
    </row>
    <row r="98" spans="1:9" x14ac:dyDescent="0.25">
      <c r="A98" t="s">
        <v>204</v>
      </c>
      <c r="B98" t="s">
        <v>73</v>
      </c>
      <c r="C98" t="s">
        <v>45</v>
      </c>
      <c r="D98" t="s">
        <v>202</v>
      </c>
      <c r="E98">
        <v>40</v>
      </c>
      <c r="F98" t="s">
        <v>19</v>
      </c>
      <c r="G98" t="s">
        <v>14</v>
      </c>
      <c r="H98" s="2">
        <v>31581</v>
      </c>
      <c r="I98" t="s">
        <v>30</v>
      </c>
    </row>
    <row r="99" spans="1:9" x14ac:dyDescent="0.25">
      <c r="A99" t="s">
        <v>205</v>
      </c>
      <c r="B99" t="s">
        <v>17</v>
      </c>
      <c r="C99" t="s">
        <v>76</v>
      </c>
      <c r="D99" t="s">
        <v>265</v>
      </c>
      <c r="E99">
        <v>47</v>
      </c>
      <c r="F99" t="s">
        <v>19</v>
      </c>
      <c r="G99" t="s">
        <v>47</v>
      </c>
      <c r="H99" s="2">
        <v>28889</v>
      </c>
      <c r="I99" t="s">
        <v>30</v>
      </c>
    </row>
    <row r="100" spans="1:9" x14ac:dyDescent="0.25">
      <c r="A100" t="s">
        <v>207</v>
      </c>
      <c r="B100" t="s">
        <v>73</v>
      </c>
      <c r="C100" t="s">
        <v>28</v>
      </c>
      <c r="D100" t="s">
        <v>189</v>
      </c>
      <c r="E100">
        <v>70</v>
      </c>
      <c r="F100" t="s">
        <v>19</v>
      </c>
      <c r="G100" t="s">
        <v>47</v>
      </c>
      <c r="H100" s="2">
        <v>20461</v>
      </c>
      <c r="I100" t="s">
        <v>15</v>
      </c>
    </row>
    <row r="101" spans="1:9" x14ac:dyDescent="0.25">
      <c r="A101" t="s">
        <v>209</v>
      </c>
      <c r="B101" t="s">
        <v>41</v>
      </c>
      <c r="C101" t="s">
        <v>67</v>
      </c>
      <c r="D101" t="s">
        <v>83</v>
      </c>
      <c r="E101">
        <v>41</v>
      </c>
      <c r="F101" t="s">
        <v>19</v>
      </c>
      <c r="G101" t="s">
        <v>60</v>
      </c>
      <c r="H101" s="2">
        <v>31389</v>
      </c>
      <c r="I101" t="s">
        <v>30</v>
      </c>
    </row>
    <row r="102" spans="1:9" x14ac:dyDescent="0.25">
      <c r="A102" t="s">
        <v>210</v>
      </c>
      <c r="B102" t="s">
        <v>54</v>
      </c>
      <c r="C102" t="s">
        <v>45</v>
      </c>
      <c r="D102" t="s">
        <v>92</v>
      </c>
      <c r="E102">
        <v>40</v>
      </c>
      <c r="F102" t="s">
        <v>13</v>
      </c>
      <c r="G102" t="s">
        <v>47</v>
      </c>
      <c r="H102" s="2">
        <v>31682</v>
      </c>
      <c r="I102" t="s">
        <v>30</v>
      </c>
    </row>
    <row r="103" spans="1:9" x14ac:dyDescent="0.25">
      <c r="A103" t="s">
        <v>212</v>
      </c>
      <c r="B103" t="s">
        <v>73</v>
      </c>
      <c r="C103" t="s">
        <v>24</v>
      </c>
      <c r="D103" t="s">
        <v>311</v>
      </c>
      <c r="E103">
        <v>23</v>
      </c>
      <c r="F103" t="s">
        <v>19</v>
      </c>
      <c r="G103" t="s">
        <v>20</v>
      </c>
      <c r="H103" s="2">
        <v>37784</v>
      </c>
      <c r="I103" t="s">
        <v>21</v>
      </c>
    </row>
    <row r="104" spans="1:9" x14ac:dyDescent="0.25">
      <c r="A104" t="s">
        <v>214</v>
      </c>
      <c r="B104" t="s">
        <v>54</v>
      </c>
      <c r="C104" t="s">
        <v>70</v>
      </c>
      <c r="D104" t="s">
        <v>71</v>
      </c>
      <c r="E104">
        <v>44</v>
      </c>
      <c r="F104" t="s">
        <v>13</v>
      </c>
      <c r="G104" t="s">
        <v>47</v>
      </c>
      <c r="H104" s="2">
        <v>30152</v>
      </c>
      <c r="I104" t="s">
        <v>30</v>
      </c>
    </row>
    <row r="105" spans="1:9" x14ac:dyDescent="0.25">
      <c r="A105" t="s">
        <v>215</v>
      </c>
      <c r="B105" t="s">
        <v>23</v>
      </c>
      <c r="C105" t="s">
        <v>24</v>
      </c>
      <c r="D105" t="s">
        <v>25</v>
      </c>
      <c r="E105">
        <v>59</v>
      </c>
      <c r="F105" t="s">
        <v>13</v>
      </c>
      <c r="G105" t="s">
        <v>60</v>
      </c>
      <c r="H105" s="2">
        <v>24570</v>
      </c>
      <c r="I105" t="s">
        <v>15</v>
      </c>
    </row>
    <row r="106" spans="1:9" x14ac:dyDescent="0.25">
      <c r="A106" t="s">
        <v>216</v>
      </c>
      <c r="B106" t="s">
        <v>23</v>
      </c>
      <c r="C106" t="s">
        <v>76</v>
      </c>
      <c r="D106" t="s">
        <v>421</v>
      </c>
      <c r="E106">
        <v>39</v>
      </c>
      <c r="F106" t="s">
        <v>19</v>
      </c>
      <c r="G106" t="s">
        <v>14</v>
      </c>
      <c r="H106" s="2">
        <v>31857</v>
      </c>
      <c r="I106" t="s">
        <v>30</v>
      </c>
    </row>
    <row r="107" spans="1:9" x14ac:dyDescent="0.25">
      <c r="A107" t="s">
        <v>217</v>
      </c>
      <c r="B107" t="s">
        <v>44</v>
      </c>
      <c r="C107" t="s">
        <v>28</v>
      </c>
      <c r="D107" t="s">
        <v>155</v>
      </c>
      <c r="E107">
        <v>25</v>
      </c>
      <c r="F107" t="s">
        <v>19</v>
      </c>
      <c r="G107" t="s">
        <v>60</v>
      </c>
      <c r="H107" s="2">
        <v>37105</v>
      </c>
      <c r="I107" t="s">
        <v>21</v>
      </c>
    </row>
    <row r="108" spans="1:9" x14ac:dyDescent="0.25">
      <c r="A108" t="s">
        <v>218</v>
      </c>
      <c r="B108" t="s">
        <v>41</v>
      </c>
      <c r="C108" t="s">
        <v>70</v>
      </c>
      <c r="D108" t="s">
        <v>169</v>
      </c>
      <c r="E108">
        <v>70</v>
      </c>
      <c r="F108" t="s">
        <v>13</v>
      </c>
      <c r="G108" t="s">
        <v>14</v>
      </c>
      <c r="H108" s="2">
        <v>20505</v>
      </c>
      <c r="I108" t="s">
        <v>15</v>
      </c>
    </row>
    <row r="109" spans="1:9" x14ac:dyDescent="0.25">
      <c r="A109" t="s">
        <v>219</v>
      </c>
      <c r="B109" t="s">
        <v>38</v>
      </c>
      <c r="C109" t="s">
        <v>28</v>
      </c>
      <c r="D109" t="s">
        <v>182</v>
      </c>
      <c r="E109">
        <v>25</v>
      </c>
      <c r="F109" t="s">
        <v>13</v>
      </c>
      <c r="G109" t="s">
        <v>60</v>
      </c>
      <c r="H109" s="2">
        <v>36919</v>
      </c>
      <c r="I109" t="s">
        <v>21</v>
      </c>
    </row>
    <row r="110" spans="1:9" x14ac:dyDescent="0.25">
      <c r="A110" t="s">
        <v>220</v>
      </c>
      <c r="B110" t="s">
        <v>23</v>
      </c>
      <c r="C110" t="s">
        <v>11</v>
      </c>
      <c r="D110" t="s">
        <v>124</v>
      </c>
      <c r="E110">
        <v>35</v>
      </c>
      <c r="F110" t="s">
        <v>13</v>
      </c>
      <c r="G110" t="s">
        <v>36</v>
      </c>
      <c r="H110" s="2">
        <v>33344</v>
      </c>
      <c r="I110" t="s">
        <v>30</v>
      </c>
    </row>
    <row r="111" spans="1:9" x14ac:dyDescent="0.25">
      <c r="A111" t="s">
        <v>222</v>
      </c>
      <c r="B111" t="s">
        <v>38</v>
      </c>
      <c r="C111" t="s">
        <v>28</v>
      </c>
      <c r="D111" t="s">
        <v>182</v>
      </c>
      <c r="E111">
        <v>45</v>
      </c>
      <c r="F111" t="s">
        <v>13</v>
      </c>
      <c r="G111" t="s">
        <v>60</v>
      </c>
      <c r="H111" s="2">
        <v>29753</v>
      </c>
      <c r="I111" t="s">
        <v>30</v>
      </c>
    </row>
    <row r="112" spans="1:9" x14ac:dyDescent="0.25">
      <c r="A112" t="s">
        <v>223</v>
      </c>
      <c r="B112" t="s">
        <v>38</v>
      </c>
      <c r="C112" t="s">
        <v>24</v>
      </c>
      <c r="D112" t="s">
        <v>39</v>
      </c>
      <c r="E112">
        <v>26</v>
      </c>
      <c r="F112" t="s">
        <v>13</v>
      </c>
      <c r="G112" t="s">
        <v>47</v>
      </c>
      <c r="H112" s="2">
        <v>36844</v>
      </c>
      <c r="I112" t="s">
        <v>21</v>
      </c>
    </row>
    <row r="113" spans="1:9" x14ac:dyDescent="0.25">
      <c r="A113" t="s">
        <v>225</v>
      </c>
      <c r="B113" t="s">
        <v>27</v>
      </c>
      <c r="C113" t="s">
        <v>34</v>
      </c>
      <c r="D113" t="s">
        <v>35</v>
      </c>
      <c r="E113">
        <v>61</v>
      </c>
      <c r="F113" t="s">
        <v>19</v>
      </c>
      <c r="G113" t="s">
        <v>36</v>
      </c>
      <c r="H113" s="2">
        <v>23889</v>
      </c>
      <c r="I113" t="s">
        <v>15</v>
      </c>
    </row>
    <row r="114" spans="1:9" x14ac:dyDescent="0.25">
      <c r="A114" t="s">
        <v>226</v>
      </c>
      <c r="B114" t="s">
        <v>44</v>
      </c>
      <c r="C114" t="s">
        <v>76</v>
      </c>
      <c r="D114" t="s">
        <v>77</v>
      </c>
      <c r="E114">
        <v>63</v>
      </c>
      <c r="F114" t="s">
        <v>19</v>
      </c>
      <c r="G114" t="s">
        <v>14</v>
      </c>
      <c r="H114" s="2">
        <v>23065</v>
      </c>
      <c r="I114" t="s">
        <v>15</v>
      </c>
    </row>
    <row r="115" spans="1:9" x14ac:dyDescent="0.25">
      <c r="A115" t="s">
        <v>227</v>
      </c>
      <c r="B115" t="s">
        <v>10</v>
      </c>
      <c r="C115" t="s">
        <v>67</v>
      </c>
      <c r="D115" t="s">
        <v>68</v>
      </c>
      <c r="E115">
        <v>37</v>
      </c>
      <c r="F115" t="s">
        <v>19</v>
      </c>
      <c r="G115" t="s">
        <v>14</v>
      </c>
      <c r="H115" s="2">
        <v>32809</v>
      </c>
      <c r="I115" t="s">
        <v>30</v>
      </c>
    </row>
    <row r="116" spans="1:9" x14ac:dyDescent="0.25">
      <c r="A116" t="s">
        <v>228</v>
      </c>
      <c r="B116" t="s">
        <v>38</v>
      </c>
      <c r="C116" t="s">
        <v>67</v>
      </c>
      <c r="D116" t="s">
        <v>90</v>
      </c>
      <c r="E116">
        <v>65</v>
      </c>
      <c r="F116" t="s">
        <v>13</v>
      </c>
      <c r="G116" t="s">
        <v>36</v>
      </c>
      <c r="H116" s="2">
        <v>22390</v>
      </c>
      <c r="I116" t="s">
        <v>15</v>
      </c>
    </row>
    <row r="117" spans="1:9" x14ac:dyDescent="0.25">
      <c r="A117" t="s">
        <v>229</v>
      </c>
      <c r="B117" t="s">
        <v>41</v>
      </c>
      <c r="C117" t="s">
        <v>24</v>
      </c>
      <c r="D117" t="s">
        <v>213</v>
      </c>
      <c r="E117">
        <v>64</v>
      </c>
      <c r="F117" t="s">
        <v>19</v>
      </c>
      <c r="G117" t="s">
        <v>36</v>
      </c>
      <c r="H117" s="2">
        <v>22869</v>
      </c>
      <c r="I117" t="s">
        <v>15</v>
      </c>
    </row>
    <row r="118" spans="1:9" x14ac:dyDescent="0.25">
      <c r="A118" t="s">
        <v>230</v>
      </c>
      <c r="B118" t="s">
        <v>41</v>
      </c>
      <c r="C118" t="s">
        <v>45</v>
      </c>
      <c r="D118" t="s">
        <v>152</v>
      </c>
      <c r="E118">
        <v>66</v>
      </c>
      <c r="F118" t="s">
        <v>19</v>
      </c>
      <c r="G118" t="s">
        <v>14</v>
      </c>
      <c r="H118" s="2">
        <v>22021</v>
      </c>
      <c r="I118" t="s">
        <v>15</v>
      </c>
    </row>
    <row r="119" spans="1:9" x14ac:dyDescent="0.25">
      <c r="A119" t="s">
        <v>231</v>
      </c>
      <c r="B119" t="s">
        <v>85</v>
      </c>
      <c r="C119" t="s">
        <v>11</v>
      </c>
      <c r="D119" t="s">
        <v>86</v>
      </c>
      <c r="E119">
        <v>42</v>
      </c>
      <c r="F119" t="s">
        <v>19</v>
      </c>
      <c r="G119" t="s">
        <v>60</v>
      </c>
      <c r="H119" s="2">
        <v>30905</v>
      </c>
      <c r="I119" t="s">
        <v>30</v>
      </c>
    </row>
    <row r="120" spans="1:9" x14ac:dyDescent="0.25">
      <c r="A120" t="s">
        <v>232</v>
      </c>
      <c r="B120" t="s">
        <v>54</v>
      </c>
      <c r="C120" t="s">
        <v>11</v>
      </c>
      <c r="D120" t="s">
        <v>178</v>
      </c>
      <c r="E120">
        <v>60</v>
      </c>
      <c r="F120" t="s">
        <v>13</v>
      </c>
      <c r="G120" t="s">
        <v>60</v>
      </c>
      <c r="H120" s="2">
        <v>24125</v>
      </c>
      <c r="I120" t="s">
        <v>15</v>
      </c>
    </row>
    <row r="121" spans="1:9" x14ac:dyDescent="0.25">
      <c r="A121" t="s">
        <v>233</v>
      </c>
      <c r="B121" t="s">
        <v>54</v>
      </c>
      <c r="C121" t="s">
        <v>45</v>
      </c>
      <c r="D121" t="s">
        <v>92</v>
      </c>
      <c r="E121">
        <v>41</v>
      </c>
      <c r="F121" t="s">
        <v>19</v>
      </c>
      <c r="G121" t="s">
        <v>47</v>
      </c>
      <c r="H121" s="2">
        <v>31348</v>
      </c>
      <c r="I121" t="s">
        <v>30</v>
      </c>
    </row>
    <row r="122" spans="1:9" x14ac:dyDescent="0.25">
      <c r="A122" t="s">
        <v>234</v>
      </c>
      <c r="B122" t="s">
        <v>17</v>
      </c>
      <c r="C122" t="s">
        <v>28</v>
      </c>
      <c r="D122" t="s">
        <v>167</v>
      </c>
      <c r="E122">
        <v>44</v>
      </c>
      <c r="F122" t="s">
        <v>13</v>
      </c>
      <c r="G122" t="s">
        <v>60</v>
      </c>
      <c r="H122" s="2">
        <v>29962</v>
      </c>
      <c r="I122" t="s">
        <v>30</v>
      </c>
    </row>
    <row r="123" spans="1:9" x14ac:dyDescent="0.25">
      <c r="A123" t="s">
        <v>235</v>
      </c>
      <c r="B123" t="s">
        <v>38</v>
      </c>
      <c r="C123" t="s">
        <v>45</v>
      </c>
      <c r="D123" t="s">
        <v>172</v>
      </c>
      <c r="E123">
        <v>35</v>
      </c>
      <c r="F123" t="s">
        <v>19</v>
      </c>
      <c r="G123" t="s">
        <v>60</v>
      </c>
      <c r="H123" s="2">
        <v>33546</v>
      </c>
      <c r="I123" t="s">
        <v>30</v>
      </c>
    </row>
    <row r="124" spans="1:9" x14ac:dyDescent="0.25">
      <c r="A124" t="s">
        <v>237</v>
      </c>
      <c r="B124" t="s">
        <v>41</v>
      </c>
      <c r="C124" t="s">
        <v>51</v>
      </c>
      <c r="D124" t="s">
        <v>57</v>
      </c>
      <c r="E124">
        <v>32</v>
      </c>
      <c r="F124" t="s">
        <v>13</v>
      </c>
      <c r="G124" t="s">
        <v>20</v>
      </c>
      <c r="H124" s="2">
        <v>34677</v>
      </c>
      <c r="I124" t="s">
        <v>30</v>
      </c>
    </row>
    <row r="125" spans="1:9" x14ac:dyDescent="0.25">
      <c r="A125" t="s">
        <v>238</v>
      </c>
      <c r="B125" t="s">
        <v>27</v>
      </c>
      <c r="C125" t="s">
        <v>11</v>
      </c>
      <c r="D125" t="s">
        <v>79</v>
      </c>
      <c r="E125">
        <v>52</v>
      </c>
      <c r="F125" t="s">
        <v>19</v>
      </c>
      <c r="G125" t="s">
        <v>47</v>
      </c>
      <c r="H125" s="2">
        <v>27364</v>
      </c>
      <c r="I125" t="s">
        <v>15</v>
      </c>
    </row>
    <row r="126" spans="1:9" x14ac:dyDescent="0.25">
      <c r="A126" t="s">
        <v>239</v>
      </c>
      <c r="B126" t="s">
        <v>73</v>
      </c>
      <c r="C126" t="s">
        <v>67</v>
      </c>
      <c r="D126" t="s">
        <v>339</v>
      </c>
      <c r="E126">
        <v>48</v>
      </c>
      <c r="F126" t="s">
        <v>13</v>
      </c>
      <c r="G126" t="s">
        <v>14</v>
      </c>
      <c r="H126" s="2">
        <v>28745</v>
      </c>
      <c r="I126" t="s">
        <v>30</v>
      </c>
    </row>
    <row r="127" spans="1:9" x14ac:dyDescent="0.25">
      <c r="A127" t="s">
        <v>240</v>
      </c>
      <c r="B127" t="s">
        <v>17</v>
      </c>
      <c r="C127" t="s">
        <v>45</v>
      </c>
      <c r="D127" t="s">
        <v>192</v>
      </c>
      <c r="E127">
        <v>52</v>
      </c>
      <c r="F127" t="s">
        <v>13</v>
      </c>
      <c r="G127" t="s">
        <v>36</v>
      </c>
      <c r="H127" s="2">
        <v>27284</v>
      </c>
      <c r="I127" t="s">
        <v>15</v>
      </c>
    </row>
    <row r="128" spans="1:9" x14ac:dyDescent="0.25">
      <c r="A128" t="s">
        <v>241</v>
      </c>
      <c r="B128" t="s">
        <v>10</v>
      </c>
      <c r="C128" t="s">
        <v>34</v>
      </c>
      <c r="D128" t="s">
        <v>112</v>
      </c>
      <c r="E128">
        <v>68</v>
      </c>
      <c r="F128" t="s">
        <v>19</v>
      </c>
      <c r="G128" t="s">
        <v>47</v>
      </c>
      <c r="H128" s="2">
        <v>21437</v>
      </c>
      <c r="I128" t="s">
        <v>15</v>
      </c>
    </row>
    <row r="129" spans="1:9" x14ac:dyDescent="0.25">
      <c r="A129" t="s">
        <v>242</v>
      </c>
      <c r="B129" t="s">
        <v>27</v>
      </c>
      <c r="C129" t="s">
        <v>51</v>
      </c>
      <c r="D129" t="s">
        <v>300</v>
      </c>
      <c r="E129">
        <v>40</v>
      </c>
      <c r="F129" t="s">
        <v>19</v>
      </c>
      <c r="G129" t="s">
        <v>47</v>
      </c>
      <c r="H129" s="2">
        <v>31538</v>
      </c>
      <c r="I129" t="s">
        <v>30</v>
      </c>
    </row>
    <row r="130" spans="1:9" x14ac:dyDescent="0.25">
      <c r="A130" t="s">
        <v>243</v>
      </c>
      <c r="B130" t="s">
        <v>41</v>
      </c>
      <c r="C130" t="s">
        <v>62</v>
      </c>
      <c r="D130" t="s">
        <v>158</v>
      </c>
      <c r="E130">
        <v>62</v>
      </c>
      <c r="F130" t="s">
        <v>13</v>
      </c>
      <c r="G130" t="s">
        <v>60</v>
      </c>
      <c r="H130" s="2">
        <v>23463</v>
      </c>
      <c r="I130" t="s">
        <v>15</v>
      </c>
    </row>
    <row r="131" spans="1:9" x14ac:dyDescent="0.25">
      <c r="A131" t="s">
        <v>244</v>
      </c>
      <c r="B131" t="s">
        <v>41</v>
      </c>
      <c r="C131" t="s">
        <v>67</v>
      </c>
      <c r="D131" t="s">
        <v>83</v>
      </c>
      <c r="E131">
        <v>32</v>
      </c>
      <c r="F131" t="s">
        <v>19</v>
      </c>
      <c r="G131" t="s">
        <v>36</v>
      </c>
      <c r="H131" s="2">
        <v>34419</v>
      </c>
      <c r="I131" t="s">
        <v>30</v>
      </c>
    </row>
    <row r="132" spans="1:9" x14ac:dyDescent="0.25">
      <c r="A132" t="s">
        <v>245</v>
      </c>
      <c r="B132" t="s">
        <v>17</v>
      </c>
      <c r="C132" t="s">
        <v>67</v>
      </c>
      <c r="D132" t="s">
        <v>403</v>
      </c>
      <c r="E132">
        <v>69</v>
      </c>
      <c r="F132" t="s">
        <v>19</v>
      </c>
      <c r="G132" t="s">
        <v>60</v>
      </c>
      <c r="H132" s="2">
        <v>20920</v>
      </c>
      <c r="I132" t="s">
        <v>15</v>
      </c>
    </row>
    <row r="133" spans="1:9" x14ac:dyDescent="0.25">
      <c r="A133" t="s">
        <v>247</v>
      </c>
      <c r="B133" t="s">
        <v>27</v>
      </c>
      <c r="C133" t="s">
        <v>28</v>
      </c>
      <c r="D133" t="s">
        <v>29</v>
      </c>
      <c r="E133">
        <v>35</v>
      </c>
      <c r="F133" t="s">
        <v>19</v>
      </c>
      <c r="G133" t="s">
        <v>14</v>
      </c>
      <c r="H133" s="2">
        <v>33514</v>
      </c>
      <c r="I133" t="s">
        <v>30</v>
      </c>
    </row>
    <row r="134" spans="1:9" x14ac:dyDescent="0.25">
      <c r="A134" t="s">
        <v>248</v>
      </c>
      <c r="B134" t="s">
        <v>23</v>
      </c>
      <c r="C134" t="s">
        <v>70</v>
      </c>
      <c r="D134" t="s">
        <v>122</v>
      </c>
      <c r="E134">
        <v>41</v>
      </c>
      <c r="F134" t="s">
        <v>19</v>
      </c>
      <c r="G134" t="s">
        <v>14</v>
      </c>
      <c r="H134" s="2">
        <v>31068</v>
      </c>
      <c r="I134" t="s">
        <v>30</v>
      </c>
    </row>
    <row r="135" spans="1:9" x14ac:dyDescent="0.25">
      <c r="A135" t="s">
        <v>249</v>
      </c>
      <c r="B135" t="s">
        <v>73</v>
      </c>
      <c r="C135" t="s">
        <v>51</v>
      </c>
      <c r="D135" t="s">
        <v>221</v>
      </c>
      <c r="E135">
        <v>34</v>
      </c>
      <c r="F135" t="s">
        <v>19</v>
      </c>
      <c r="G135" t="s">
        <v>20</v>
      </c>
      <c r="H135" s="2">
        <v>33685</v>
      </c>
      <c r="I135" t="s">
        <v>30</v>
      </c>
    </row>
    <row r="136" spans="1:9" x14ac:dyDescent="0.25">
      <c r="A136" t="s">
        <v>250</v>
      </c>
      <c r="B136" t="s">
        <v>17</v>
      </c>
      <c r="C136" t="s">
        <v>76</v>
      </c>
      <c r="D136" t="s">
        <v>265</v>
      </c>
      <c r="E136">
        <v>26</v>
      </c>
      <c r="F136" t="s">
        <v>19</v>
      </c>
      <c r="G136" t="s">
        <v>14</v>
      </c>
      <c r="H136" s="2">
        <v>36694</v>
      </c>
      <c r="I136" t="s">
        <v>21</v>
      </c>
    </row>
    <row r="137" spans="1:9" x14ac:dyDescent="0.25">
      <c r="A137" t="s">
        <v>251</v>
      </c>
      <c r="B137" t="s">
        <v>23</v>
      </c>
      <c r="C137" t="s">
        <v>28</v>
      </c>
      <c r="D137" t="s">
        <v>59</v>
      </c>
      <c r="E137">
        <v>27</v>
      </c>
      <c r="F137" t="s">
        <v>19</v>
      </c>
      <c r="G137" t="s">
        <v>14</v>
      </c>
      <c r="H137" s="2">
        <v>36315</v>
      </c>
      <c r="I137" t="s">
        <v>21</v>
      </c>
    </row>
    <row r="138" spans="1:9" x14ac:dyDescent="0.25">
      <c r="A138" t="s">
        <v>252</v>
      </c>
      <c r="B138" t="s">
        <v>38</v>
      </c>
      <c r="C138" t="s">
        <v>28</v>
      </c>
      <c r="D138" t="s">
        <v>182</v>
      </c>
      <c r="E138">
        <v>55</v>
      </c>
      <c r="F138" t="s">
        <v>13</v>
      </c>
      <c r="G138" t="s">
        <v>20</v>
      </c>
      <c r="H138" s="2">
        <v>26198</v>
      </c>
      <c r="I138" t="s">
        <v>15</v>
      </c>
    </row>
    <row r="139" spans="1:9" x14ac:dyDescent="0.25">
      <c r="A139" t="s">
        <v>253</v>
      </c>
      <c r="B139" t="s">
        <v>38</v>
      </c>
      <c r="C139" t="s">
        <v>76</v>
      </c>
      <c r="D139" t="s">
        <v>118</v>
      </c>
      <c r="E139">
        <v>51</v>
      </c>
      <c r="F139" t="s">
        <v>19</v>
      </c>
      <c r="G139" t="s">
        <v>47</v>
      </c>
      <c r="H139" s="2">
        <v>27470</v>
      </c>
      <c r="I139" t="s">
        <v>15</v>
      </c>
    </row>
    <row r="140" spans="1:9" x14ac:dyDescent="0.25">
      <c r="A140" t="s">
        <v>254</v>
      </c>
      <c r="B140" t="s">
        <v>23</v>
      </c>
      <c r="C140" t="s">
        <v>70</v>
      </c>
      <c r="D140" t="s">
        <v>122</v>
      </c>
      <c r="E140">
        <v>66</v>
      </c>
      <c r="F140" t="s">
        <v>19</v>
      </c>
      <c r="G140" t="s">
        <v>47</v>
      </c>
      <c r="H140" s="2">
        <v>22070</v>
      </c>
      <c r="I140" t="s">
        <v>15</v>
      </c>
    </row>
    <row r="141" spans="1:9" x14ac:dyDescent="0.25">
      <c r="A141" t="s">
        <v>256</v>
      </c>
      <c r="B141" t="s">
        <v>73</v>
      </c>
      <c r="C141" t="s">
        <v>34</v>
      </c>
      <c r="D141" t="s">
        <v>74</v>
      </c>
      <c r="E141">
        <v>43</v>
      </c>
      <c r="F141" t="s">
        <v>13</v>
      </c>
      <c r="G141" t="s">
        <v>36</v>
      </c>
      <c r="H141" s="2">
        <v>30401</v>
      </c>
      <c r="I141" t="s">
        <v>30</v>
      </c>
    </row>
    <row r="142" spans="1:9" x14ac:dyDescent="0.25">
      <c r="A142" t="s">
        <v>257</v>
      </c>
      <c r="B142" t="s">
        <v>41</v>
      </c>
      <c r="C142" t="s">
        <v>76</v>
      </c>
      <c r="D142" t="s">
        <v>276</v>
      </c>
      <c r="E142">
        <v>48</v>
      </c>
      <c r="F142" t="s">
        <v>19</v>
      </c>
      <c r="G142" t="s">
        <v>60</v>
      </c>
      <c r="H142" s="2">
        <v>28547</v>
      </c>
      <c r="I142" t="s">
        <v>30</v>
      </c>
    </row>
    <row r="143" spans="1:9" x14ac:dyDescent="0.25">
      <c r="A143" t="s">
        <v>258</v>
      </c>
      <c r="B143" t="s">
        <v>85</v>
      </c>
      <c r="C143" t="s">
        <v>11</v>
      </c>
      <c r="D143" t="s">
        <v>86</v>
      </c>
      <c r="E143">
        <v>37</v>
      </c>
      <c r="F143" t="s">
        <v>19</v>
      </c>
      <c r="G143" t="s">
        <v>14</v>
      </c>
      <c r="H143" s="2">
        <v>32759</v>
      </c>
      <c r="I143" t="s">
        <v>30</v>
      </c>
    </row>
    <row r="144" spans="1:9" x14ac:dyDescent="0.25">
      <c r="A144" t="s">
        <v>259</v>
      </c>
      <c r="B144" t="s">
        <v>44</v>
      </c>
      <c r="C144" t="s">
        <v>24</v>
      </c>
      <c r="D144" t="s">
        <v>97</v>
      </c>
      <c r="E144">
        <v>59</v>
      </c>
      <c r="F144" t="s">
        <v>19</v>
      </c>
      <c r="G144" t="s">
        <v>47</v>
      </c>
      <c r="H144" s="2">
        <v>24823</v>
      </c>
      <c r="I144" t="s">
        <v>15</v>
      </c>
    </row>
    <row r="145" spans="1:9" x14ac:dyDescent="0.25">
      <c r="A145" t="s">
        <v>260</v>
      </c>
      <c r="B145" t="s">
        <v>27</v>
      </c>
      <c r="C145" t="s">
        <v>70</v>
      </c>
      <c r="D145" t="s">
        <v>81</v>
      </c>
      <c r="E145">
        <v>27</v>
      </c>
      <c r="F145" t="s">
        <v>19</v>
      </c>
      <c r="G145" t="s">
        <v>36</v>
      </c>
      <c r="H145" s="2">
        <v>36406</v>
      </c>
      <c r="I145" t="s">
        <v>21</v>
      </c>
    </row>
    <row r="146" spans="1:9" x14ac:dyDescent="0.25">
      <c r="A146" t="s">
        <v>261</v>
      </c>
      <c r="B146" t="s">
        <v>27</v>
      </c>
      <c r="C146" t="s">
        <v>11</v>
      </c>
      <c r="D146" t="s">
        <v>79</v>
      </c>
      <c r="E146">
        <v>40</v>
      </c>
      <c r="F146" t="s">
        <v>13</v>
      </c>
      <c r="G146" t="s">
        <v>36</v>
      </c>
      <c r="H146" s="2">
        <v>31435</v>
      </c>
      <c r="I146" t="s">
        <v>30</v>
      </c>
    </row>
    <row r="147" spans="1:9" x14ac:dyDescent="0.25">
      <c r="A147" t="s">
        <v>263</v>
      </c>
      <c r="B147" t="s">
        <v>17</v>
      </c>
      <c r="C147" t="s">
        <v>70</v>
      </c>
      <c r="D147" t="s">
        <v>110</v>
      </c>
      <c r="E147">
        <v>39</v>
      </c>
      <c r="F147" t="s">
        <v>19</v>
      </c>
      <c r="G147" t="s">
        <v>36</v>
      </c>
      <c r="H147" s="2">
        <v>31840</v>
      </c>
      <c r="I147" t="s">
        <v>30</v>
      </c>
    </row>
    <row r="148" spans="1:9" x14ac:dyDescent="0.25">
      <c r="A148" t="s">
        <v>264</v>
      </c>
      <c r="B148" t="s">
        <v>17</v>
      </c>
      <c r="C148" t="s">
        <v>51</v>
      </c>
      <c r="D148" t="s">
        <v>236</v>
      </c>
      <c r="E148">
        <v>40</v>
      </c>
      <c r="F148" t="s">
        <v>19</v>
      </c>
      <c r="G148" t="s">
        <v>14</v>
      </c>
      <c r="H148" s="2">
        <v>31750</v>
      </c>
      <c r="I148" t="s">
        <v>30</v>
      </c>
    </row>
    <row r="149" spans="1:9" x14ac:dyDescent="0.25">
      <c r="A149" t="s">
        <v>266</v>
      </c>
      <c r="B149" t="s">
        <v>54</v>
      </c>
      <c r="C149" t="s">
        <v>70</v>
      </c>
      <c r="D149" t="s">
        <v>71</v>
      </c>
      <c r="E149">
        <v>43</v>
      </c>
      <c r="F149" t="s">
        <v>13</v>
      </c>
      <c r="G149" t="s">
        <v>47</v>
      </c>
      <c r="H149" s="2">
        <v>30517</v>
      </c>
      <c r="I149" t="s">
        <v>30</v>
      </c>
    </row>
    <row r="150" spans="1:9" x14ac:dyDescent="0.25">
      <c r="A150" t="s">
        <v>268</v>
      </c>
      <c r="B150" t="s">
        <v>54</v>
      </c>
      <c r="C150" t="s">
        <v>11</v>
      </c>
      <c r="D150" t="s">
        <v>178</v>
      </c>
      <c r="E150">
        <v>30</v>
      </c>
      <c r="F150" t="s">
        <v>19</v>
      </c>
      <c r="G150" t="s">
        <v>60</v>
      </c>
      <c r="H150" s="2">
        <v>35206</v>
      </c>
      <c r="I150" t="s">
        <v>30</v>
      </c>
    </row>
    <row r="151" spans="1:9" x14ac:dyDescent="0.25">
      <c r="A151" t="s">
        <v>269</v>
      </c>
      <c r="B151" t="s">
        <v>17</v>
      </c>
      <c r="C151" t="s">
        <v>24</v>
      </c>
      <c r="D151" t="s">
        <v>262</v>
      </c>
      <c r="E151">
        <v>21</v>
      </c>
      <c r="F151" t="s">
        <v>13</v>
      </c>
      <c r="G151" t="s">
        <v>60</v>
      </c>
      <c r="H151" s="2">
        <v>38380</v>
      </c>
      <c r="I151" t="s">
        <v>21</v>
      </c>
    </row>
    <row r="152" spans="1:9" x14ac:dyDescent="0.25">
      <c r="A152" t="s">
        <v>270</v>
      </c>
      <c r="B152" t="s">
        <v>54</v>
      </c>
      <c r="C152" t="s">
        <v>70</v>
      </c>
      <c r="D152" t="s">
        <v>71</v>
      </c>
      <c r="E152">
        <v>22</v>
      </c>
      <c r="F152" t="s">
        <v>19</v>
      </c>
      <c r="G152" t="s">
        <v>20</v>
      </c>
      <c r="H152" s="2">
        <v>38044</v>
      </c>
      <c r="I152" t="s">
        <v>21</v>
      </c>
    </row>
    <row r="153" spans="1:9" x14ac:dyDescent="0.25">
      <c r="A153" t="s">
        <v>271</v>
      </c>
      <c r="B153" t="s">
        <v>73</v>
      </c>
      <c r="C153" t="s">
        <v>28</v>
      </c>
      <c r="D153" t="s">
        <v>189</v>
      </c>
      <c r="E153">
        <v>33</v>
      </c>
      <c r="F153" t="s">
        <v>19</v>
      </c>
      <c r="G153" t="s">
        <v>60</v>
      </c>
      <c r="H153" s="2">
        <v>34132</v>
      </c>
      <c r="I153" t="s">
        <v>30</v>
      </c>
    </row>
    <row r="154" spans="1:9" x14ac:dyDescent="0.25">
      <c r="A154" t="s">
        <v>272</v>
      </c>
      <c r="B154" t="s">
        <v>85</v>
      </c>
      <c r="C154" t="s">
        <v>45</v>
      </c>
      <c r="D154" t="s">
        <v>99</v>
      </c>
      <c r="E154">
        <v>46</v>
      </c>
      <c r="F154" t="s">
        <v>19</v>
      </c>
      <c r="G154" t="s">
        <v>47</v>
      </c>
      <c r="H154" s="2">
        <v>29535</v>
      </c>
      <c r="I154" t="s">
        <v>30</v>
      </c>
    </row>
    <row r="155" spans="1:9" x14ac:dyDescent="0.25">
      <c r="A155" t="s">
        <v>274</v>
      </c>
      <c r="B155" t="s">
        <v>85</v>
      </c>
      <c r="C155" t="s">
        <v>67</v>
      </c>
      <c r="D155" t="s">
        <v>857</v>
      </c>
      <c r="E155">
        <v>20</v>
      </c>
      <c r="F155" t="s">
        <v>13</v>
      </c>
      <c r="G155" t="s">
        <v>47</v>
      </c>
      <c r="H155" s="2">
        <v>38916</v>
      </c>
      <c r="I155" t="s">
        <v>21</v>
      </c>
    </row>
    <row r="156" spans="1:9" x14ac:dyDescent="0.25">
      <c r="A156" t="s">
        <v>275</v>
      </c>
      <c r="B156" t="s">
        <v>17</v>
      </c>
      <c r="C156" t="s">
        <v>11</v>
      </c>
      <c r="D156" t="s">
        <v>18</v>
      </c>
      <c r="E156">
        <v>50</v>
      </c>
      <c r="F156" t="s">
        <v>19</v>
      </c>
      <c r="G156" t="s">
        <v>20</v>
      </c>
      <c r="H156" s="2">
        <v>27966</v>
      </c>
      <c r="I156" t="s">
        <v>15</v>
      </c>
    </row>
    <row r="157" spans="1:9" x14ac:dyDescent="0.25">
      <c r="A157" t="s">
        <v>277</v>
      </c>
      <c r="B157" t="s">
        <v>41</v>
      </c>
      <c r="C157" t="s">
        <v>67</v>
      </c>
      <c r="D157" t="s">
        <v>83</v>
      </c>
      <c r="E157">
        <v>26</v>
      </c>
      <c r="F157" t="s">
        <v>13</v>
      </c>
      <c r="G157" t="s">
        <v>60</v>
      </c>
      <c r="H157" s="2">
        <v>36772</v>
      </c>
      <c r="I157" t="s">
        <v>21</v>
      </c>
    </row>
    <row r="158" spans="1:9" x14ac:dyDescent="0.25">
      <c r="A158" t="s">
        <v>278</v>
      </c>
      <c r="B158" t="s">
        <v>54</v>
      </c>
      <c r="C158" t="s">
        <v>67</v>
      </c>
      <c r="D158" t="s">
        <v>305</v>
      </c>
      <c r="E158">
        <v>63</v>
      </c>
      <c r="F158" t="s">
        <v>19</v>
      </c>
      <c r="G158" t="s">
        <v>60</v>
      </c>
      <c r="H158" s="2">
        <v>23112</v>
      </c>
      <c r="I158" t="s">
        <v>15</v>
      </c>
    </row>
    <row r="159" spans="1:9" x14ac:dyDescent="0.25">
      <c r="A159" t="s">
        <v>279</v>
      </c>
      <c r="B159" t="s">
        <v>73</v>
      </c>
      <c r="C159" t="s">
        <v>45</v>
      </c>
      <c r="D159" t="s">
        <v>202</v>
      </c>
      <c r="E159">
        <v>63</v>
      </c>
      <c r="F159" t="s">
        <v>19</v>
      </c>
      <c r="G159" t="s">
        <v>47</v>
      </c>
      <c r="H159" s="2">
        <v>23354</v>
      </c>
      <c r="I159" t="s">
        <v>15</v>
      </c>
    </row>
    <row r="160" spans="1:9" x14ac:dyDescent="0.25">
      <c r="A160" t="s">
        <v>280</v>
      </c>
      <c r="B160" t="s">
        <v>54</v>
      </c>
      <c r="C160" t="s">
        <v>62</v>
      </c>
      <c r="D160" t="s">
        <v>329</v>
      </c>
      <c r="E160">
        <v>43</v>
      </c>
      <c r="F160" t="s">
        <v>19</v>
      </c>
      <c r="G160" t="s">
        <v>14</v>
      </c>
      <c r="H160" s="2">
        <v>30604</v>
      </c>
      <c r="I160" t="s">
        <v>30</v>
      </c>
    </row>
    <row r="161" spans="1:9" x14ac:dyDescent="0.25">
      <c r="A161" t="s">
        <v>281</v>
      </c>
      <c r="B161" t="s">
        <v>41</v>
      </c>
      <c r="C161" t="s">
        <v>24</v>
      </c>
      <c r="D161" t="s">
        <v>213</v>
      </c>
      <c r="E161">
        <v>22</v>
      </c>
      <c r="F161" t="s">
        <v>19</v>
      </c>
      <c r="G161" t="s">
        <v>47</v>
      </c>
      <c r="H161" s="2">
        <v>37997</v>
      </c>
      <c r="I161" t="s">
        <v>21</v>
      </c>
    </row>
    <row r="162" spans="1:9" x14ac:dyDescent="0.25">
      <c r="A162" t="s">
        <v>283</v>
      </c>
      <c r="B162" t="s">
        <v>17</v>
      </c>
      <c r="C162" t="s">
        <v>28</v>
      </c>
      <c r="D162" t="s">
        <v>167</v>
      </c>
      <c r="E162">
        <v>49</v>
      </c>
      <c r="F162" t="s">
        <v>19</v>
      </c>
      <c r="G162" t="s">
        <v>60</v>
      </c>
      <c r="H162" s="2">
        <v>28175</v>
      </c>
      <c r="I162" t="s">
        <v>30</v>
      </c>
    </row>
    <row r="163" spans="1:9" x14ac:dyDescent="0.25">
      <c r="A163" t="s">
        <v>284</v>
      </c>
      <c r="B163" t="s">
        <v>73</v>
      </c>
      <c r="C163" t="s">
        <v>45</v>
      </c>
      <c r="D163" t="s">
        <v>202</v>
      </c>
      <c r="E163">
        <v>65</v>
      </c>
      <c r="F163" t="s">
        <v>19</v>
      </c>
      <c r="G163" t="s">
        <v>47</v>
      </c>
      <c r="H163" s="2">
        <v>22544</v>
      </c>
      <c r="I163" t="s">
        <v>15</v>
      </c>
    </row>
    <row r="164" spans="1:9" x14ac:dyDescent="0.25">
      <c r="A164" t="s">
        <v>285</v>
      </c>
      <c r="B164" t="s">
        <v>38</v>
      </c>
      <c r="C164" t="s">
        <v>11</v>
      </c>
      <c r="D164" t="s">
        <v>120</v>
      </c>
      <c r="E164">
        <v>55</v>
      </c>
      <c r="F164" t="s">
        <v>19</v>
      </c>
      <c r="G164" t="s">
        <v>14</v>
      </c>
      <c r="H164" s="2">
        <v>26027</v>
      </c>
      <c r="I164" t="s">
        <v>15</v>
      </c>
    </row>
    <row r="165" spans="1:9" x14ac:dyDescent="0.25">
      <c r="A165" t="s">
        <v>286</v>
      </c>
      <c r="B165" t="s">
        <v>85</v>
      </c>
      <c r="C165" t="s">
        <v>28</v>
      </c>
      <c r="D165" t="s">
        <v>137</v>
      </c>
      <c r="E165">
        <v>57</v>
      </c>
      <c r="F165" t="s">
        <v>13</v>
      </c>
      <c r="G165" t="s">
        <v>47</v>
      </c>
      <c r="H165" s="2">
        <v>25548</v>
      </c>
      <c r="I165" t="s">
        <v>15</v>
      </c>
    </row>
    <row r="166" spans="1:9" x14ac:dyDescent="0.25">
      <c r="A166" t="s">
        <v>287</v>
      </c>
      <c r="B166" t="s">
        <v>41</v>
      </c>
      <c r="C166" t="s">
        <v>76</v>
      </c>
      <c r="D166" t="s">
        <v>276</v>
      </c>
      <c r="E166">
        <v>49</v>
      </c>
      <c r="F166" t="s">
        <v>19</v>
      </c>
      <c r="G166" t="s">
        <v>36</v>
      </c>
      <c r="H166" s="2">
        <v>28371</v>
      </c>
      <c r="I166" t="s">
        <v>30</v>
      </c>
    </row>
    <row r="167" spans="1:9" x14ac:dyDescent="0.25">
      <c r="A167" t="s">
        <v>288</v>
      </c>
      <c r="B167" t="s">
        <v>54</v>
      </c>
      <c r="C167" t="s">
        <v>62</v>
      </c>
      <c r="D167" t="s">
        <v>329</v>
      </c>
      <c r="E167">
        <v>69</v>
      </c>
      <c r="F167" t="s">
        <v>19</v>
      </c>
      <c r="G167" t="s">
        <v>20</v>
      </c>
      <c r="H167" s="2">
        <v>21095</v>
      </c>
      <c r="I167" t="s">
        <v>15</v>
      </c>
    </row>
    <row r="168" spans="1:9" x14ac:dyDescent="0.25">
      <c r="A168" t="s">
        <v>289</v>
      </c>
      <c r="B168" t="s">
        <v>44</v>
      </c>
      <c r="C168" t="s">
        <v>62</v>
      </c>
      <c r="D168" t="s">
        <v>130</v>
      </c>
      <c r="E168">
        <v>59</v>
      </c>
      <c r="F168" t="s">
        <v>13</v>
      </c>
      <c r="G168" t="s">
        <v>14</v>
      </c>
      <c r="H168" s="2">
        <v>24539</v>
      </c>
      <c r="I168" t="s">
        <v>15</v>
      </c>
    </row>
    <row r="169" spans="1:9" x14ac:dyDescent="0.25">
      <c r="A169" t="s">
        <v>290</v>
      </c>
      <c r="B169" t="s">
        <v>17</v>
      </c>
      <c r="C169" t="s">
        <v>11</v>
      </c>
      <c r="D169" t="s">
        <v>18</v>
      </c>
      <c r="E169">
        <v>38</v>
      </c>
      <c r="F169" t="s">
        <v>13</v>
      </c>
      <c r="G169" t="s">
        <v>14</v>
      </c>
      <c r="H169" s="2">
        <v>32155</v>
      </c>
      <c r="I169" t="s">
        <v>30</v>
      </c>
    </row>
    <row r="170" spans="1:9" x14ac:dyDescent="0.25">
      <c r="A170" t="s">
        <v>291</v>
      </c>
      <c r="B170" t="s">
        <v>27</v>
      </c>
      <c r="C170" t="s">
        <v>34</v>
      </c>
      <c r="D170" t="s">
        <v>35</v>
      </c>
      <c r="E170">
        <v>54</v>
      </c>
      <c r="F170" t="s">
        <v>19</v>
      </c>
      <c r="G170" t="s">
        <v>20</v>
      </c>
      <c r="H170" s="2">
        <v>26522</v>
      </c>
      <c r="I170" t="s">
        <v>15</v>
      </c>
    </row>
    <row r="171" spans="1:9" x14ac:dyDescent="0.25">
      <c r="A171" t="s">
        <v>292</v>
      </c>
      <c r="B171" t="s">
        <v>17</v>
      </c>
      <c r="C171" t="s">
        <v>28</v>
      </c>
      <c r="D171" t="s">
        <v>167</v>
      </c>
      <c r="E171">
        <v>68</v>
      </c>
      <c r="F171" t="s">
        <v>13</v>
      </c>
      <c r="G171" t="s">
        <v>60</v>
      </c>
      <c r="H171" s="2">
        <v>21461</v>
      </c>
      <c r="I171" t="s">
        <v>15</v>
      </c>
    </row>
    <row r="172" spans="1:9" x14ac:dyDescent="0.25">
      <c r="A172" t="s">
        <v>293</v>
      </c>
      <c r="B172" t="s">
        <v>41</v>
      </c>
      <c r="C172" t="s">
        <v>67</v>
      </c>
      <c r="D172" t="s">
        <v>83</v>
      </c>
      <c r="E172">
        <v>51</v>
      </c>
      <c r="F172" t="s">
        <v>13</v>
      </c>
      <c r="G172" t="s">
        <v>47</v>
      </c>
      <c r="H172" s="2">
        <v>27657</v>
      </c>
      <c r="I172" t="s">
        <v>15</v>
      </c>
    </row>
    <row r="173" spans="1:9" x14ac:dyDescent="0.25">
      <c r="A173" t="s">
        <v>294</v>
      </c>
      <c r="B173" t="s">
        <v>23</v>
      </c>
      <c r="C173" t="s">
        <v>28</v>
      </c>
      <c r="D173" t="s">
        <v>59</v>
      </c>
      <c r="E173">
        <v>27</v>
      </c>
      <c r="F173" t="s">
        <v>13</v>
      </c>
      <c r="G173" t="s">
        <v>60</v>
      </c>
      <c r="H173" s="2">
        <v>36491</v>
      </c>
      <c r="I173" t="s">
        <v>21</v>
      </c>
    </row>
    <row r="174" spans="1:9" x14ac:dyDescent="0.25">
      <c r="A174" t="s">
        <v>295</v>
      </c>
      <c r="B174" t="s">
        <v>85</v>
      </c>
      <c r="C174" t="s">
        <v>34</v>
      </c>
      <c r="D174" t="s">
        <v>106</v>
      </c>
      <c r="E174">
        <v>28</v>
      </c>
      <c r="F174" t="s">
        <v>13</v>
      </c>
      <c r="G174" t="s">
        <v>47</v>
      </c>
      <c r="H174" s="2">
        <v>36031</v>
      </c>
      <c r="I174" t="s">
        <v>21</v>
      </c>
    </row>
    <row r="175" spans="1:9" x14ac:dyDescent="0.25">
      <c r="A175" t="s">
        <v>296</v>
      </c>
      <c r="B175" t="s">
        <v>44</v>
      </c>
      <c r="C175" t="s">
        <v>76</v>
      </c>
      <c r="D175" t="s">
        <v>77</v>
      </c>
      <c r="E175">
        <v>31</v>
      </c>
      <c r="F175" t="s">
        <v>19</v>
      </c>
      <c r="G175" t="s">
        <v>14</v>
      </c>
      <c r="H175" s="2">
        <v>35056</v>
      </c>
      <c r="I175" t="s">
        <v>30</v>
      </c>
    </row>
    <row r="176" spans="1:9" x14ac:dyDescent="0.25">
      <c r="A176" t="s">
        <v>297</v>
      </c>
      <c r="B176" t="s">
        <v>10</v>
      </c>
      <c r="C176" t="s">
        <v>45</v>
      </c>
      <c r="D176" t="s">
        <v>126</v>
      </c>
      <c r="E176">
        <v>61</v>
      </c>
      <c r="F176" t="s">
        <v>19</v>
      </c>
      <c r="G176" t="s">
        <v>20</v>
      </c>
      <c r="H176" s="2">
        <v>23847</v>
      </c>
      <c r="I176" t="s">
        <v>15</v>
      </c>
    </row>
    <row r="177" spans="1:9" x14ac:dyDescent="0.25">
      <c r="A177" t="s">
        <v>298</v>
      </c>
      <c r="B177" t="s">
        <v>73</v>
      </c>
      <c r="C177" t="s">
        <v>76</v>
      </c>
      <c r="D177" t="s">
        <v>267</v>
      </c>
      <c r="E177">
        <v>69</v>
      </c>
      <c r="F177" t="s">
        <v>13</v>
      </c>
      <c r="G177" t="s">
        <v>60</v>
      </c>
      <c r="H177" s="2">
        <v>21019</v>
      </c>
      <c r="I177" t="s">
        <v>15</v>
      </c>
    </row>
    <row r="178" spans="1:9" x14ac:dyDescent="0.25">
      <c r="A178" t="s">
        <v>299</v>
      </c>
      <c r="B178" t="s">
        <v>41</v>
      </c>
      <c r="C178" t="s">
        <v>67</v>
      </c>
      <c r="D178" t="s">
        <v>83</v>
      </c>
      <c r="E178">
        <v>49</v>
      </c>
      <c r="F178" t="s">
        <v>19</v>
      </c>
      <c r="G178" t="s">
        <v>60</v>
      </c>
      <c r="H178" s="2">
        <v>28286</v>
      </c>
      <c r="I178" t="s">
        <v>30</v>
      </c>
    </row>
    <row r="179" spans="1:9" x14ac:dyDescent="0.25">
      <c r="A179" t="s">
        <v>301</v>
      </c>
      <c r="B179" t="s">
        <v>38</v>
      </c>
      <c r="C179" t="s">
        <v>34</v>
      </c>
      <c r="D179" t="s">
        <v>49</v>
      </c>
      <c r="E179">
        <v>70</v>
      </c>
      <c r="F179" t="s">
        <v>13</v>
      </c>
      <c r="G179" t="s">
        <v>20</v>
      </c>
      <c r="H179" s="2">
        <v>20474</v>
      </c>
      <c r="I179" t="s">
        <v>15</v>
      </c>
    </row>
    <row r="180" spans="1:9" x14ac:dyDescent="0.25">
      <c r="A180" t="s">
        <v>302</v>
      </c>
      <c r="B180" t="s">
        <v>23</v>
      </c>
      <c r="C180" t="s">
        <v>45</v>
      </c>
      <c r="D180" t="s">
        <v>206</v>
      </c>
      <c r="E180">
        <v>20</v>
      </c>
      <c r="F180" t="s">
        <v>13</v>
      </c>
      <c r="G180" t="s">
        <v>47</v>
      </c>
      <c r="H180" s="2">
        <v>38939</v>
      </c>
      <c r="I180" t="s">
        <v>21</v>
      </c>
    </row>
    <row r="181" spans="1:9" x14ac:dyDescent="0.25">
      <c r="A181" t="s">
        <v>303</v>
      </c>
      <c r="B181" t="s">
        <v>23</v>
      </c>
      <c r="C181" t="s">
        <v>11</v>
      </c>
      <c r="D181" t="s">
        <v>124</v>
      </c>
      <c r="E181">
        <v>25</v>
      </c>
      <c r="F181" t="s">
        <v>19</v>
      </c>
      <c r="G181" t="s">
        <v>14</v>
      </c>
      <c r="H181" s="2">
        <v>37202</v>
      </c>
      <c r="I181" t="s">
        <v>21</v>
      </c>
    </row>
    <row r="182" spans="1:9" x14ac:dyDescent="0.25">
      <c r="A182" t="s">
        <v>304</v>
      </c>
      <c r="B182" t="s">
        <v>44</v>
      </c>
      <c r="C182" t="s">
        <v>11</v>
      </c>
      <c r="D182" t="s">
        <v>246</v>
      </c>
      <c r="E182">
        <v>62</v>
      </c>
      <c r="F182" t="s">
        <v>13</v>
      </c>
      <c r="G182" t="s">
        <v>14</v>
      </c>
      <c r="H182" s="2">
        <v>23596</v>
      </c>
      <c r="I182" t="s">
        <v>15</v>
      </c>
    </row>
    <row r="183" spans="1:9" x14ac:dyDescent="0.25">
      <c r="A183" t="s">
        <v>306</v>
      </c>
      <c r="B183" t="s">
        <v>44</v>
      </c>
      <c r="C183" t="s">
        <v>70</v>
      </c>
      <c r="D183" t="s">
        <v>101</v>
      </c>
      <c r="E183">
        <v>56</v>
      </c>
      <c r="F183" t="s">
        <v>19</v>
      </c>
      <c r="G183" t="s">
        <v>60</v>
      </c>
      <c r="H183" s="2">
        <v>25815</v>
      </c>
      <c r="I183" t="s">
        <v>15</v>
      </c>
    </row>
    <row r="184" spans="1:9" x14ac:dyDescent="0.25">
      <c r="A184" t="s">
        <v>307</v>
      </c>
      <c r="B184" t="s">
        <v>17</v>
      </c>
      <c r="C184" t="s">
        <v>28</v>
      </c>
      <c r="D184" t="s">
        <v>167</v>
      </c>
      <c r="E184">
        <v>39</v>
      </c>
      <c r="F184" t="s">
        <v>19</v>
      </c>
      <c r="G184" t="s">
        <v>36</v>
      </c>
      <c r="H184" s="2">
        <v>31836</v>
      </c>
      <c r="I184" t="s">
        <v>30</v>
      </c>
    </row>
    <row r="185" spans="1:9" x14ac:dyDescent="0.25">
      <c r="A185" t="s">
        <v>308</v>
      </c>
      <c r="B185" t="s">
        <v>85</v>
      </c>
      <c r="C185" t="s">
        <v>24</v>
      </c>
      <c r="D185" t="s">
        <v>108</v>
      </c>
      <c r="E185">
        <v>64</v>
      </c>
      <c r="F185" t="s">
        <v>13</v>
      </c>
      <c r="G185" t="s">
        <v>20</v>
      </c>
      <c r="H185" s="2">
        <v>22810</v>
      </c>
      <c r="I185" t="s">
        <v>15</v>
      </c>
    </row>
    <row r="186" spans="1:9" x14ac:dyDescent="0.25">
      <c r="A186" t="s">
        <v>309</v>
      </c>
      <c r="B186" t="s">
        <v>54</v>
      </c>
      <c r="C186" t="s">
        <v>67</v>
      </c>
      <c r="D186" t="s">
        <v>305</v>
      </c>
      <c r="E186">
        <v>31</v>
      </c>
      <c r="F186" t="s">
        <v>13</v>
      </c>
      <c r="G186" t="s">
        <v>20</v>
      </c>
      <c r="H186" s="2">
        <v>35016</v>
      </c>
      <c r="I186" t="s">
        <v>30</v>
      </c>
    </row>
    <row r="187" spans="1:9" x14ac:dyDescent="0.25">
      <c r="A187" t="s">
        <v>310</v>
      </c>
      <c r="B187" t="s">
        <v>17</v>
      </c>
      <c r="C187" t="s">
        <v>76</v>
      </c>
      <c r="D187" t="s">
        <v>265</v>
      </c>
      <c r="E187">
        <v>48</v>
      </c>
      <c r="F187" t="s">
        <v>13</v>
      </c>
      <c r="G187" t="s">
        <v>60</v>
      </c>
      <c r="H187" s="2">
        <v>28576</v>
      </c>
      <c r="I187" t="s">
        <v>30</v>
      </c>
    </row>
    <row r="188" spans="1:9" x14ac:dyDescent="0.25">
      <c r="A188" t="s">
        <v>312</v>
      </c>
      <c r="B188" t="s">
        <v>27</v>
      </c>
      <c r="C188" t="s">
        <v>24</v>
      </c>
      <c r="D188" t="s">
        <v>32</v>
      </c>
      <c r="E188">
        <v>47</v>
      </c>
      <c r="F188" t="s">
        <v>13</v>
      </c>
      <c r="G188" t="s">
        <v>20</v>
      </c>
      <c r="H188" s="2">
        <v>28982</v>
      </c>
      <c r="I188" t="s">
        <v>30</v>
      </c>
    </row>
    <row r="189" spans="1:9" x14ac:dyDescent="0.25">
      <c r="A189" t="s">
        <v>314</v>
      </c>
      <c r="B189" t="s">
        <v>38</v>
      </c>
      <c r="C189" t="s">
        <v>45</v>
      </c>
      <c r="D189" t="s">
        <v>172</v>
      </c>
      <c r="E189">
        <v>68</v>
      </c>
      <c r="F189" t="s">
        <v>13</v>
      </c>
      <c r="G189" t="s">
        <v>14</v>
      </c>
      <c r="H189" s="2">
        <v>21525</v>
      </c>
      <c r="I189" t="s">
        <v>15</v>
      </c>
    </row>
    <row r="190" spans="1:9" x14ac:dyDescent="0.25">
      <c r="A190" t="s">
        <v>315</v>
      </c>
      <c r="B190" t="s">
        <v>10</v>
      </c>
      <c r="C190" t="s">
        <v>11</v>
      </c>
      <c r="D190" t="s">
        <v>12</v>
      </c>
      <c r="E190">
        <v>36</v>
      </c>
      <c r="F190" t="s">
        <v>19</v>
      </c>
      <c r="G190" t="s">
        <v>47</v>
      </c>
      <c r="H190" s="2">
        <v>32914</v>
      </c>
      <c r="I190" t="s">
        <v>30</v>
      </c>
    </row>
    <row r="191" spans="1:9" x14ac:dyDescent="0.25">
      <c r="A191" t="s">
        <v>316</v>
      </c>
      <c r="B191" t="s">
        <v>38</v>
      </c>
      <c r="C191" t="s">
        <v>51</v>
      </c>
      <c r="D191" t="s">
        <v>52</v>
      </c>
      <c r="E191">
        <v>31</v>
      </c>
      <c r="F191" t="s">
        <v>19</v>
      </c>
      <c r="G191" t="s">
        <v>60</v>
      </c>
      <c r="H191" s="2">
        <v>34822</v>
      </c>
      <c r="I191" t="s">
        <v>30</v>
      </c>
    </row>
    <row r="192" spans="1:9" x14ac:dyDescent="0.25">
      <c r="A192" t="s">
        <v>317</v>
      </c>
      <c r="B192" t="s">
        <v>54</v>
      </c>
      <c r="C192" t="s">
        <v>70</v>
      </c>
      <c r="D192" t="s">
        <v>71</v>
      </c>
      <c r="E192">
        <v>51</v>
      </c>
      <c r="F192" t="s">
        <v>19</v>
      </c>
      <c r="G192" t="s">
        <v>47</v>
      </c>
      <c r="H192" s="2">
        <v>27598</v>
      </c>
      <c r="I192" t="s">
        <v>15</v>
      </c>
    </row>
    <row r="193" spans="1:9" x14ac:dyDescent="0.25">
      <c r="A193" t="s">
        <v>318</v>
      </c>
      <c r="B193" t="s">
        <v>10</v>
      </c>
      <c r="C193" t="s">
        <v>51</v>
      </c>
      <c r="D193" t="s">
        <v>148</v>
      </c>
      <c r="E193">
        <v>56</v>
      </c>
      <c r="F193" t="s">
        <v>19</v>
      </c>
      <c r="G193" t="s">
        <v>20</v>
      </c>
      <c r="H193" s="2">
        <v>25900</v>
      </c>
      <c r="I193" t="s">
        <v>15</v>
      </c>
    </row>
    <row r="194" spans="1:9" x14ac:dyDescent="0.25">
      <c r="A194" t="s">
        <v>319</v>
      </c>
      <c r="B194" t="s">
        <v>27</v>
      </c>
      <c r="C194" t="s">
        <v>62</v>
      </c>
      <c r="D194" t="s">
        <v>65</v>
      </c>
      <c r="E194">
        <v>31</v>
      </c>
      <c r="F194" t="s">
        <v>13</v>
      </c>
      <c r="G194" t="s">
        <v>20</v>
      </c>
      <c r="H194" s="2">
        <v>34832</v>
      </c>
      <c r="I194" t="s">
        <v>30</v>
      </c>
    </row>
    <row r="195" spans="1:9" x14ac:dyDescent="0.25">
      <c r="A195" t="s">
        <v>320</v>
      </c>
      <c r="B195" t="s">
        <v>54</v>
      </c>
      <c r="C195" t="s">
        <v>28</v>
      </c>
      <c r="D195" t="s">
        <v>416</v>
      </c>
      <c r="E195">
        <v>59</v>
      </c>
      <c r="F195" t="s">
        <v>19</v>
      </c>
      <c r="G195" t="s">
        <v>47</v>
      </c>
      <c r="H195" s="2">
        <v>24531</v>
      </c>
      <c r="I195" t="s">
        <v>15</v>
      </c>
    </row>
    <row r="196" spans="1:9" x14ac:dyDescent="0.25">
      <c r="A196" t="s">
        <v>321</v>
      </c>
      <c r="B196" t="s">
        <v>41</v>
      </c>
      <c r="C196" t="s">
        <v>70</v>
      </c>
      <c r="D196" t="s">
        <v>169</v>
      </c>
      <c r="E196">
        <v>32</v>
      </c>
      <c r="F196" t="s">
        <v>13</v>
      </c>
      <c r="G196" t="s">
        <v>14</v>
      </c>
      <c r="H196" s="2">
        <v>34685</v>
      </c>
      <c r="I196" t="s">
        <v>30</v>
      </c>
    </row>
    <row r="197" spans="1:9" x14ac:dyDescent="0.25">
      <c r="A197" t="s">
        <v>322</v>
      </c>
      <c r="B197" t="s">
        <v>85</v>
      </c>
      <c r="C197" t="s">
        <v>51</v>
      </c>
      <c r="D197" t="s">
        <v>163</v>
      </c>
      <c r="E197">
        <v>39</v>
      </c>
      <c r="F197" t="s">
        <v>13</v>
      </c>
      <c r="G197" t="s">
        <v>36</v>
      </c>
      <c r="H197" s="2">
        <v>32078</v>
      </c>
      <c r="I197" t="s">
        <v>30</v>
      </c>
    </row>
    <row r="198" spans="1:9" x14ac:dyDescent="0.25">
      <c r="A198" t="s">
        <v>323</v>
      </c>
      <c r="B198" t="s">
        <v>54</v>
      </c>
      <c r="C198" t="s">
        <v>45</v>
      </c>
      <c r="D198" t="s">
        <v>92</v>
      </c>
      <c r="E198">
        <v>68</v>
      </c>
      <c r="F198" t="s">
        <v>19</v>
      </c>
      <c r="G198" t="s">
        <v>47</v>
      </c>
      <c r="H198" s="2">
        <v>21210</v>
      </c>
      <c r="I198" t="s">
        <v>15</v>
      </c>
    </row>
    <row r="199" spans="1:9" x14ac:dyDescent="0.25">
      <c r="A199" t="s">
        <v>324</v>
      </c>
      <c r="B199" t="s">
        <v>38</v>
      </c>
      <c r="C199" t="s">
        <v>51</v>
      </c>
      <c r="D199" t="s">
        <v>52</v>
      </c>
      <c r="E199">
        <v>46</v>
      </c>
      <c r="F199" t="s">
        <v>13</v>
      </c>
      <c r="G199" t="s">
        <v>20</v>
      </c>
      <c r="H199" s="2">
        <v>29497</v>
      </c>
      <c r="I199" t="s">
        <v>30</v>
      </c>
    </row>
    <row r="200" spans="1:9" x14ac:dyDescent="0.25">
      <c r="A200" t="s">
        <v>326</v>
      </c>
      <c r="B200" t="s">
        <v>38</v>
      </c>
      <c r="C200" t="s">
        <v>11</v>
      </c>
      <c r="D200" t="s">
        <v>120</v>
      </c>
      <c r="E200">
        <v>57</v>
      </c>
      <c r="F200" t="s">
        <v>13</v>
      </c>
      <c r="G200" t="s">
        <v>14</v>
      </c>
      <c r="H200" s="2">
        <v>25271</v>
      </c>
      <c r="I200" t="s">
        <v>15</v>
      </c>
    </row>
    <row r="201" spans="1:9" x14ac:dyDescent="0.25">
      <c r="A201" t="s">
        <v>327</v>
      </c>
      <c r="B201" t="s">
        <v>10</v>
      </c>
      <c r="C201" t="s">
        <v>11</v>
      </c>
      <c r="D201" t="s">
        <v>12</v>
      </c>
      <c r="E201">
        <v>62</v>
      </c>
      <c r="F201" t="s">
        <v>19</v>
      </c>
      <c r="G201" t="s">
        <v>36</v>
      </c>
      <c r="H201" s="2">
        <v>23523</v>
      </c>
      <c r="I201" t="s">
        <v>15</v>
      </c>
    </row>
    <row r="202" spans="1:9" x14ac:dyDescent="0.25">
      <c r="A202" t="s">
        <v>328</v>
      </c>
      <c r="B202" t="s">
        <v>17</v>
      </c>
      <c r="C202" t="s">
        <v>24</v>
      </c>
      <c r="D202" t="s">
        <v>262</v>
      </c>
      <c r="E202">
        <v>51</v>
      </c>
      <c r="F202" t="s">
        <v>13</v>
      </c>
      <c r="G202" t="s">
        <v>36</v>
      </c>
      <c r="H202" s="2">
        <v>27529</v>
      </c>
      <c r="I202" t="s">
        <v>15</v>
      </c>
    </row>
    <row r="203" spans="1:9" x14ac:dyDescent="0.25">
      <c r="A203" t="s">
        <v>330</v>
      </c>
      <c r="B203" t="s">
        <v>44</v>
      </c>
      <c r="C203" t="s">
        <v>51</v>
      </c>
      <c r="D203" t="s">
        <v>133</v>
      </c>
      <c r="E203">
        <v>45</v>
      </c>
      <c r="F203" t="s">
        <v>19</v>
      </c>
      <c r="G203" t="s">
        <v>60</v>
      </c>
      <c r="H203" s="2">
        <v>29745</v>
      </c>
      <c r="I203" t="s">
        <v>30</v>
      </c>
    </row>
    <row r="204" spans="1:9" x14ac:dyDescent="0.25">
      <c r="A204" t="s">
        <v>331</v>
      </c>
      <c r="B204" t="s">
        <v>73</v>
      </c>
      <c r="C204" t="s">
        <v>76</v>
      </c>
      <c r="D204" t="s">
        <v>267</v>
      </c>
      <c r="E204">
        <v>25</v>
      </c>
      <c r="F204" t="s">
        <v>13</v>
      </c>
      <c r="G204" t="s">
        <v>14</v>
      </c>
      <c r="H204" s="2">
        <v>36917</v>
      </c>
      <c r="I204" t="s">
        <v>21</v>
      </c>
    </row>
    <row r="205" spans="1:9" x14ac:dyDescent="0.25">
      <c r="A205" t="s">
        <v>332</v>
      </c>
      <c r="B205" t="s">
        <v>41</v>
      </c>
      <c r="C205" t="s">
        <v>76</v>
      </c>
      <c r="D205" t="s">
        <v>276</v>
      </c>
      <c r="E205">
        <v>64</v>
      </c>
      <c r="F205" t="s">
        <v>19</v>
      </c>
      <c r="G205" t="s">
        <v>20</v>
      </c>
      <c r="H205" s="2">
        <v>22665</v>
      </c>
      <c r="I205" t="s">
        <v>15</v>
      </c>
    </row>
    <row r="206" spans="1:9" x14ac:dyDescent="0.25">
      <c r="A206" t="s">
        <v>333</v>
      </c>
      <c r="B206" t="s">
        <v>27</v>
      </c>
      <c r="C206" t="s">
        <v>34</v>
      </c>
      <c r="D206" t="s">
        <v>35</v>
      </c>
      <c r="E206">
        <v>32</v>
      </c>
      <c r="F206" t="s">
        <v>19</v>
      </c>
      <c r="G206" t="s">
        <v>20</v>
      </c>
      <c r="H206" s="2">
        <v>34392</v>
      </c>
      <c r="I206" t="s">
        <v>30</v>
      </c>
    </row>
    <row r="207" spans="1:9" x14ac:dyDescent="0.25">
      <c r="A207" t="s">
        <v>334</v>
      </c>
      <c r="B207" t="s">
        <v>17</v>
      </c>
      <c r="C207" t="s">
        <v>67</v>
      </c>
      <c r="D207" t="s">
        <v>403</v>
      </c>
      <c r="E207">
        <v>22</v>
      </c>
      <c r="F207" t="s">
        <v>19</v>
      </c>
      <c r="G207" t="s">
        <v>20</v>
      </c>
      <c r="H207" s="2">
        <v>38215</v>
      </c>
      <c r="I207" t="s">
        <v>21</v>
      </c>
    </row>
    <row r="208" spans="1:9" x14ac:dyDescent="0.25">
      <c r="A208" t="s">
        <v>335</v>
      </c>
      <c r="B208" t="s">
        <v>85</v>
      </c>
      <c r="C208" t="s">
        <v>70</v>
      </c>
      <c r="D208" t="s">
        <v>150</v>
      </c>
      <c r="E208">
        <v>31</v>
      </c>
      <c r="F208" t="s">
        <v>13</v>
      </c>
      <c r="G208" t="s">
        <v>36</v>
      </c>
      <c r="H208" s="2">
        <v>34773</v>
      </c>
      <c r="I208" t="s">
        <v>30</v>
      </c>
    </row>
    <row r="209" spans="1:9" x14ac:dyDescent="0.25">
      <c r="A209" t="s">
        <v>336</v>
      </c>
      <c r="B209" t="s">
        <v>17</v>
      </c>
      <c r="C209" t="s">
        <v>28</v>
      </c>
      <c r="D209" t="s">
        <v>167</v>
      </c>
      <c r="E209">
        <v>48</v>
      </c>
      <c r="F209" t="s">
        <v>13</v>
      </c>
      <c r="G209" t="s">
        <v>47</v>
      </c>
      <c r="H209" s="2">
        <v>28659</v>
      </c>
      <c r="I209" t="s">
        <v>30</v>
      </c>
    </row>
    <row r="210" spans="1:9" x14ac:dyDescent="0.25">
      <c r="A210" t="s">
        <v>337</v>
      </c>
      <c r="B210" t="s">
        <v>27</v>
      </c>
      <c r="C210" t="s">
        <v>11</v>
      </c>
      <c r="D210" t="s">
        <v>79</v>
      </c>
      <c r="E210">
        <v>52</v>
      </c>
      <c r="F210" t="s">
        <v>19</v>
      </c>
      <c r="G210" t="s">
        <v>36</v>
      </c>
      <c r="H210" s="2">
        <v>27193</v>
      </c>
      <c r="I210" t="s">
        <v>15</v>
      </c>
    </row>
    <row r="211" spans="1:9" x14ac:dyDescent="0.25">
      <c r="A211" t="s">
        <v>338</v>
      </c>
      <c r="B211" t="s">
        <v>38</v>
      </c>
      <c r="C211" t="s">
        <v>70</v>
      </c>
      <c r="D211" t="s">
        <v>399</v>
      </c>
      <c r="E211">
        <v>53</v>
      </c>
      <c r="F211" t="s">
        <v>19</v>
      </c>
      <c r="G211" t="s">
        <v>36</v>
      </c>
      <c r="H211" s="2">
        <v>26939</v>
      </c>
      <c r="I211" t="s">
        <v>15</v>
      </c>
    </row>
    <row r="212" spans="1:9" x14ac:dyDescent="0.25">
      <c r="A212" t="s">
        <v>340</v>
      </c>
      <c r="B212" t="s">
        <v>41</v>
      </c>
      <c r="C212" t="s">
        <v>11</v>
      </c>
      <c r="D212" t="s">
        <v>42</v>
      </c>
      <c r="E212">
        <v>36</v>
      </c>
      <c r="F212" t="s">
        <v>19</v>
      </c>
      <c r="G212" t="s">
        <v>14</v>
      </c>
      <c r="H212" s="2">
        <v>33214</v>
      </c>
      <c r="I212" t="s">
        <v>30</v>
      </c>
    </row>
    <row r="213" spans="1:9" x14ac:dyDescent="0.25">
      <c r="A213" t="s">
        <v>342</v>
      </c>
      <c r="B213" t="s">
        <v>10</v>
      </c>
      <c r="C213" t="s">
        <v>24</v>
      </c>
      <c r="D213" t="s">
        <v>282</v>
      </c>
      <c r="E213">
        <v>20</v>
      </c>
      <c r="F213" t="s">
        <v>13</v>
      </c>
      <c r="G213" t="s">
        <v>47</v>
      </c>
      <c r="H213" s="2">
        <v>38955</v>
      </c>
      <c r="I213" t="s">
        <v>21</v>
      </c>
    </row>
    <row r="214" spans="1:9" x14ac:dyDescent="0.25">
      <c r="A214" t="s">
        <v>343</v>
      </c>
      <c r="B214" t="s">
        <v>38</v>
      </c>
      <c r="C214" t="s">
        <v>28</v>
      </c>
      <c r="D214" t="s">
        <v>182</v>
      </c>
      <c r="E214">
        <v>66</v>
      </c>
      <c r="F214" t="s">
        <v>19</v>
      </c>
      <c r="G214" t="s">
        <v>47</v>
      </c>
      <c r="H214" s="2">
        <v>22215</v>
      </c>
      <c r="I214" t="s">
        <v>15</v>
      </c>
    </row>
    <row r="215" spans="1:9" x14ac:dyDescent="0.25">
      <c r="A215" t="s">
        <v>344</v>
      </c>
      <c r="B215" t="s">
        <v>54</v>
      </c>
      <c r="C215" t="s">
        <v>76</v>
      </c>
      <c r="D215" t="s">
        <v>325</v>
      </c>
      <c r="E215">
        <v>53</v>
      </c>
      <c r="F215" t="s">
        <v>13</v>
      </c>
      <c r="G215" t="s">
        <v>14</v>
      </c>
      <c r="H215" s="2">
        <v>26852</v>
      </c>
      <c r="I215" t="s">
        <v>15</v>
      </c>
    </row>
    <row r="216" spans="1:9" x14ac:dyDescent="0.25">
      <c r="A216" t="s">
        <v>345</v>
      </c>
      <c r="B216" t="s">
        <v>41</v>
      </c>
      <c r="C216" t="s">
        <v>24</v>
      </c>
      <c r="D216" t="s">
        <v>213</v>
      </c>
      <c r="E216">
        <v>50</v>
      </c>
      <c r="F216" t="s">
        <v>19</v>
      </c>
      <c r="G216" t="s">
        <v>47</v>
      </c>
      <c r="H216" s="2">
        <v>27842</v>
      </c>
      <c r="I216" t="s">
        <v>15</v>
      </c>
    </row>
    <row r="217" spans="1:9" x14ac:dyDescent="0.25">
      <c r="A217" t="s">
        <v>346</v>
      </c>
      <c r="B217" t="s">
        <v>54</v>
      </c>
      <c r="C217" t="s">
        <v>11</v>
      </c>
      <c r="D217" t="s">
        <v>178</v>
      </c>
      <c r="E217">
        <v>52</v>
      </c>
      <c r="F217" t="s">
        <v>13</v>
      </c>
      <c r="G217" t="s">
        <v>36</v>
      </c>
      <c r="H217" s="2">
        <v>27170</v>
      </c>
      <c r="I217" t="s">
        <v>15</v>
      </c>
    </row>
    <row r="218" spans="1:9" x14ac:dyDescent="0.25">
      <c r="A218" t="s">
        <v>347</v>
      </c>
      <c r="B218" t="s">
        <v>27</v>
      </c>
      <c r="C218" t="s">
        <v>34</v>
      </c>
      <c r="D218" t="s">
        <v>35</v>
      </c>
      <c r="E218">
        <v>24</v>
      </c>
      <c r="F218" t="s">
        <v>19</v>
      </c>
      <c r="G218" t="s">
        <v>47</v>
      </c>
      <c r="H218" s="2">
        <v>37318</v>
      </c>
      <c r="I218" t="s">
        <v>21</v>
      </c>
    </row>
    <row r="219" spans="1:9" x14ac:dyDescent="0.25">
      <c r="A219" t="s">
        <v>348</v>
      </c>
      <c r="B219" t="s">
        <v>73</v>
      </c>
      <c r="C219" t="s">
        <v>34</v>
      </c>
      <c r="D219" t="s">
        <v>74</v>
      </c>
      <c r="E219">
        <v>32</v>
      </c>
      <c r="F219" t="s">
        <v>13</v>
      </c>
      <c r="G219" t="s">
        <v>47</v>
      </c>
      <c r="H219" s="2">
        <v>34351</v>
      </c>
      <c r="I219" t="s">
        <v>30</v>
      </c>
    </row>
    <row r="220" spans="1:9" x14ac:dyDescent="0.25">
      <c r="A220" t="s">
        <v>349</v>
      </c>
      <c r="B220" t="s">
        <v>17</v>
      </c>
      <c r="C220" t="s">
        <v>24</v>
      </c>
      <c r="D220" t="s">
        <v>262</v>
      </c>
      <c r="E220">
        <v>26</v>
      </c>
      <c r="F220" t="s">
        <v>19</v>
      </c>
      <c r="G220" t="s">
        <v>60</v>
      </c>
      <c r="H220" s="2">
        <v>36595</v>
      </c>
      <c r="I220" t="s">
        <v>21</v>
      </c>
    </row>
    <row r="221" spans="1:9" x14ac:dyDescent="0.25">
      <c r="A221" t="s">
        <v>350</v>
      </c>
      <c r="B221" t="s">
        <v>41</v>
      </c>
      <c r="C221" t="s">
        <v>24</v>
      </c>
      <c r="D221" t="s">
        <v>213</v>
      </c>
      <c r="E221">
        <v>50</v>
      </c>
      <c r="F221" t="s">
        <v>19</v>
      </c>
      <c r="G221" t="s">
        <v>47</v>
      </c>
      <c r="H221" s="2">
        <v>27846</v>
      </c>
      <c r="I221" t="s">
        <v>15</v>
      </c>
    </row>
    <row r="222" spans="1:9" x14ac:dyDescent="0.25">
      <c r="A222" t="s">
        <v>351</v>
      </c>
      <c r="B222" t="s">
        <v>17</v>
      </c>
      <c r="C222" t="s">
        <v>11</v>
      </c>
      <c r="D222" t="s">
        <v>18</v>
      </c>
      <c r="E222">
        <v>25</v>
      </c>
      <c r="F222" t="s">
        <v>13</v>
      </c>
      <c r="G222" t="s">
        <v>20</v>
      </c>
      <c r="H222" s="2">
        <v>36992</v>
      </c>
      <c r="I222" t="s">
        <v>21</v>
      </c>
    </row>
    <row r="223" spans="1:9" x14ac:dyDescent="0.25">
      <c r="A223" t="s">
        <v>352</v>
      </c>
      <c r="B223" t="s">
        <v>85</v>
      </c>
      <c r="C223" t="s">
        <v>76</v>
      </c>
      <c r="D223" t="s">
        <v>197</v>
      </c>
      <c r="E223">
        <v>37</v>
      </c>
      <c r="F223" t="s">
        <v>19</v>
      </c>
      <c r="G223" t="s">
        <v>20</v>
      </c>
      <c r="H223" s="2">
        <v>32806</v>
      </c>
      <c r="I223" t="s">
        <v>30</v>
      </c>
    </row>
    <row r="224" spans="1:9" x14ac:dyDescent="0.25">
      <c r="A224" t="s">
        <v>353</v>
      </c>
      <c r="B224" t="s">
        <v>23</v>
      </c>
      <c r="C224" t="s">
        <v>45</v>
      </c>
      <c r="D224" t="s">
        <v>206</v>
      </c>
      <c r="E224">
        <v>51</v>
      </c>
      <c r="F224" t="s">
        <v>19</v>
      </c>
      <c r="G224" t="s">
        <v>47</v>
      </c>
      <c r="H224" s="2">
        <v>27457</v>
      </c>
      <c r="I224" t="s">
        <v>15</v>
      </c>
    </row>
    <row r="225" spans="1:9" x14ac:dyDescent="0.25">
      <c r="A225" t="s">
        <v>354</v>
      </c>
      <c r="B225" t="s">
        <v>85</v>
      </c>
      <c r="C225" t="s">
        <v>45</v>
      </c>
      <c r="D225" t="s">
        <v>99</v>
      </c>
      <c r="E225">
        <v>58</v>
      </c>
      <c r="F225" t="s">
        <v>13</v>
      </c>
      <c r="G225" t="s">
        <v>14</v>
      </c>
      <c r="H225" s="2">
        <v>25198</v>
      </c>
      <c r="I225" t="s">
        <v>15</v>
      </c>
    </row>
    <row r="226" spans="1:9" x14ac:dyDescent="0.25">
      <c r="A226" t="s">
        <v>355</v>
      </c>
      <c r="B226" t="s">
        <v>41</v>
      </c>
      <c r="C226" t="s">
        <v>34</v>
      </c>
      <c r="D226" t="s">
        <v>114</v>
      </c>
      <c r="E226">
        <v>64</v>
      </c>
      <c r="F226" t="s">
        <v>19</v>
      </c>
      <c r="G226" t="s">
        <v>47</v>
      </c>
      <c r="H226" s="2">
        <v>22976</v>
      </c>
      <c r="I226" t="s">
        <v>15</v>
      </c>
    </row>
    <row r="227" spans="1:9" x14ac:dyDescent="0.25">
      <c r="A227" t="s">
        <v>356</v>
      </c>
      <c r="B227" t="s">
        <v>10</v>
      </c>
      <c r="C227" t="s">
        <v>62</v>
      </c>
      <c r="D227" t="s">
        <v>313</v>
      </c>
      <c r="E227">
        <v>59</v>
      </c>
      <c r="F227" t="s">
        <v>19</v>
      </c>
      <c r="G227" t="s">
        <v>60</v>
      </c>
      <c r="H227" s="2">
        <v>24610</v>
      </c>
      <c r="I227" t="s">
        <v>15</v>
      </c>
    </row>
    <row r="228" spans="1:9" x14ac:dyDescent="0.25">
      <c r="A228" t="s">
        <v>357</v>
      </c>
      <c r="B228" t="s">
        <v>10</v>
      </c>
      <c r="C228" t="s">
        <v>76</v>
      </c>
      <c r="D228" t="s">
        <v>858</v>
      </c>
      <c r="E228">
        <v>31</v>
      </c>
      <c r="F228" t="s">
        <v>13</v>
      </c>
      <c r="G228" t="s">
        <v>14</v>
      </c>
      <c r="H228" s="2">
        <v>34931</v>
      </c>
      <c r="I228" t="s">
        <v>30</v>
      </c>
    </row>
    <row r="229" spans="1:9" x14ac:dyDescent="0.25">
      <c r="A229" t="s">
        <v>358</v>
      </c>
      <c r="B229" t="s">
        <v>44</v>
      </c>
      <c r="C229" t="s">
        <v>62</v>
      </c>
      <c r="D229" t="s">
        <v>130</v>
      </c>
      <c r="E229">
        <v>63</v>
      </c>
      <c r="F229" t="s">
        <v>19</v>
      </c>
      <c r="G229" t="s">
        <v>47</v>
      </c>
      <c r="H229" s="2">
        <v>23179</v>
      </c>
      <c r="I229" t="s">
        <v>15</v>
      </c>
    </row>
    <row r="230" spans="1:9" x14ac:dyDescent="0.25">
      <c r="A230" t="s">
        <v>359</v>
      </c>
      <c r="B230" t="s">
        <v>23</v>
      </c>
      <c r="C230" t="s">
        <v>67</v>
      </c>
      <c r="D230" t="s">
        <v>341</v>
      </c>
      <c r="E230">
        <v>69</v>
      </c>
      <c r="F230" t="s">
        <v>13</v>
      </c>
      <c r="G230" t="s">
        <v>36</v>
      </c>
      <c r="H230" s="2">
        <v>20845</v>
      </c>
      <c r="I230" t="s">
        <v>15</v>
      </c>
    </row>
    <row r="231" spans="1:9" x14ac:dyDescent="0.25">
      <c r="A231" t="s">
        <v>360</v>
      </c>
      <c r="B231" t="s">
        <v>38</v>
      </c>
      <c r="C231" t="s">
        <v>11</v>
      </c>
      <c r="D231" t="s">
        <v>120</v>
      </c>
      <c r="E231">
        <v>40</v>
      </c>
      <c r="F231" t="s">
        <v>13</v>
      </c>
      <c r="G231" t="s">
        <v>14</v>
      </c>
      <c r="H231" s="2">
        <v>31564</v>
      </c>
      <c r="I231" t="s">
        <v>30</v>
      </c>
    </row>
    <row r="232" spans="1:9" x14ac:dyDescent="0.25">
      <c r="A232" t="s">
        <v>361</v>
      </c>
      <c r="B232" t="s">
        <v>38</v>
      </c>
      <c r="C232" t="s">
        <v>76</v>
      </c>
      <c r="D232" t="s">
        <v>118</v>
      </c>
      <c r="E232">
        <v>47</v>
      </c>
      <c r="F232" t="s">
        <v>19</v>
      </c>
      <c r="G232" t="s">
        <v>36</v>
      </c>
      <c r="H232" s="2">
        <v>29167</v>
      </c>
      <c r="I232" t="s">
        <v>30</v>
      </c>
    </row>
    <row r="233" spans="1:9" x14ac:dyDescent="0.25">
      <c r="A233" t="s">
        <v>362</v>
      </c>
      <c r="B233" t="s">
        <v>27</v>
      </c>
      <c r="C233" t="s">
        <v>62</v>
      </c>
      <c r="D233" t="s">
        <v>65</v>
      </c>
      <c r="E233">
        <v>31</v>
      </c>
      <c r="F233" t="s">
        <v>13</v>
      </c>
      <c r="G233" t="s">
        <v>60</v>
      </c>
      <c r="H233" s="2">
        <v>34878</v>
      </c>
      <c r="I233" t="s">
        <v>30</v>
      </c>
    </row>
    <row r="234" spans="1:9" x14ac:dyDescent="0.25">
      <c r="A234" t="s">
        <v>363</v>
      </c>
      <c r="B234" t="s">
        <v>54</v>
      </c>
      <c r="C234" t="s">
        <v>51</v>
      </c>
      <c r="D234" t="s">
        <v>104</v>
      </c>
      <c r="E234">
        <v>42</v>
      </c>
      <c r="F234" t="s">
        <v>19</v>
      </c>
      <c r="G234" t="s">
        <v>47</v>
      </c>
      <c r="H234" s="2">
        <v>30804</v>
      </c>
      <c r="I234" t="s">
        <v>30</v>
      </c>
    </row>
    <row r="235" spans="1:9" x14ac:dyDescent="0.25">
      <c r="A235" t="s">
        <v>364</v>
      </c>
      <c r="B235" t="s">
        <v>27</v>
      </c>
      <c r="C235" t="s">
        <v>11</v>
      </c>
      <c r="D235" t="s">
        <v>79</v>
      </c>
      <c r="E235">
        <v>28</v>
      </c>
      <c r="F235" t="s">
        <v>13</v>
      </c>
      <c r="G235" t="s">
        <v>47</v>
      </c>
      <c r="H235" s="2">
        <v>36055</v>
      </c>
      <c r="I235" t="s">
        <v>21</v>
      </c>
    </row>
    <row r="236" spans="1:9" x14ac:dyDescent="0.25">
      <c r="A236" t="s">
        <v>365</v>
      </c>
      <c r="B236" t="s">
        <v>54</v>
      </c>
      <c r="C236" t="s">
        <v>51</v>
      </c>
      <c r="D236" t="s">
        <v>104</v>
      </c>
      <c r="E236">
        <v>61</v>
      </c>
      <c r="F236" t="s">
        <v>19</v>
      </c>
      <c r="G236" t="s">
        <v>14</v>
      </c>
      <c r="H236" s="2">
        <v>23878</v>
      </c>
      <c r="I236" t="s">
        <v>15</v>
      </c>
    </row>
    <row r="237" spans="1:9" x14ac:dyDescent="0.25">
      <c r="A237" t="s">
        <v>366</v>
      </c>
      <c r="B237" t="s">
        <v>10</v>
      </c>
      <c r="C237" t="s">
        <v>67</v>
      </c>
      <c r="D237" t="s">
        <v>68</v>
      </c>
      <c r="E237">
        <v>30</v>
      </c>
      <c r="F237" t="s">
        <v>19</v>
      </c>
      <c r="G237" t="s">
        <v>36</v>
      </c>
      <c r="H237" s="2">
        <v>35089</v>
      </c>
      <c r="I237" t="s">
        <v>30</v>
      </c>
    </row>
    <row r="238" spans="1:9" x14ac:dyDescent="0.25">
      <c r="A238" t="s">
        <v>367</v>
      </c>
      <c r="B238" t="s">
        <v>54</v>
      </c>
      <c r="C238" t="s">
        <v>28</v>
      </c>
      <c r="D238" t="s">
        <v>416</v>
      </c>
      <c r="E238">
        <v>38</v>
      </c>
      <c r="F238" t="s">
        <v>13</v>
      </c>
      <c r="G238" t="s">
        <v>20</v>
      </c>
      <c r="H238" s="2">
        <v>32239</v>
      </c>
      <c r="I238" t="s">
        <v>30</v>
      </c>
    </row>
    <row r="239" spans="1:9" x14ac:dyDescent="0.25">
      <c r="A239" t="s">
        <v>368</v>
      </c>
      <c r="B239" t="s">
        <v>54</v>
      </c>
      <c r="C239" t="s">
        <v>34</v>
      </c>
      <c r="D239" t="s">
        <v>55</v>
      </c>
      <c r="E239">
        <v>33</v>
      </c>
      <c r="F239" t="s">
        <v>13</v>
      </c>
      <c r="G239" t="s">
        <v>60</v>
      </c>
      <c r="H239" s="2">
        <v>34226</v>
      </c>
      <c r="I239" t="s">
        <v>30</v>
      </c>
    </row>
    <row r="240" spans="1:9" x14ac:dyDescent="0.25">
      <c r="A240" t="s">
        <v>369</v>
      </c>
      <c r="B240" t="s">
        <v>73</v>
      </c>
      <c r="C240" t="s">
        <v>76</v>
      </c>
      <c r="D240" t="s">
        <v>267</v>
      </c>
      <c r="E240">
        <v>62</v>
      </c>
      <c r="F240" t="s">
        <v>13</v>
      </c>
      <c r="G240" t="s">
        <v>36</v>
      </c>
      <c r="H240" s="2">
        <v>23441</v>
      </c>
      <c r="I240" t="s">
        <v>15</v>
      </c>
    </row>
    <row r="241" spans="1:9" x14ac:dyDescent="0.25">
      <c r="A241" t="s">
        <v>370</v>
      </c>
      <c r="B241" t="s">
        <v>44</v>
      </c>
      <c r="C241" t="s">
        <v>45</v>
      </c>
      <c r="D241" t="s">
        <v>46</v>
      </c>
      <c r="E241">
        <v>31</v>
      </c>
      <c r="F241" t="s">
        <v>13</v>
      </c>
      <c r="G241" t="s">
        <v>20</v>
      </c>
      <c r="H241" s="2">
        <v>35042</v>
      </c>
      <c r="I241" t="s">
        <v>30</v>
      </c>
    </row>
    <row r="242" spans="1:9" x14ac:dyDescent="0.25">
      <c r="A242" t="s">
        <v>371</v>
      </c>
      <c r="B242" t="s">
        <v>10</v>
      </c>
      <c r="C242" t="s">
        <v>34</v>
      </c>
      <c r="D242" t="s">
        <v>112</v>
      </c>
      <c r="E242">
        <v>22</v>
      </c>
      <c r="F242" t="s">
        <v>13</v>
      </c>
      <c r="G242" t="s">
        <v>14</v>
      </c>
      <c r="H242" s="2">
        <v>38319</v>
      </c>
      <c r="I242" t="s">
        <v>21</v>
      </c>
    </row>
    <row r="243" spans="1:9" x14ac:dyDescent="0.25">
      <c r="A243" t="s">
        <v>372</v>
      </c>
      <c r="B243" t="s">
        <v>23</v>
      </c>
      <c r="C243" t="s">
        <v>34</v>
      </c>
      <c r="D243" t="s">
        <v>165</v>
      </c>
      <c r="E243">
        <v>70</v>
      </c>
      <c r="F243" t="s">
        <v>13</v>
      </c>
      <c r="G243" t="s">
        <v>20</v>
      </c>
      <c r="H243" s="2">
        <v>20770</v>
      </c>
      <c r="I243" t="s">
        <v>15</v>
      </c>
    </row>
    <row r="244" spans="1:9" x14ac:dyDescent="0.25">
      <c r="A244" t="s">
        <v>373</v>
      </c>
      <c r="B244" t="s">
        <v>10</v>
      </c>
      <c r="C244" t="s">
        <v>76</v>
      </c>
      <c r="D244" t="s">
        <v>858</v>
      </c>
      <c r="E244">
        <v>41</v>
      </c>
      <c r="F244" t="s">
        <v>19</v>
      </c>
      <c r="G244" t="s">
        <v>14</v>
      </c>
      <c r="H244" s="2">
        <v>31401</v>
      </c>
      <c r="I244" t="s">
        <v>30</v>
      </c>
    </row>
    <row r="245" spans="1:9" x14ac:dyDescent="0.25">
      <c r="A245" t="s">
        <v>374</v>
      </c>
      <c r="B245" t="s">
        <v>85</v>
      </c>
      <c r="C245" t="s">
        <v>34</v>
      </c>
      <c r="D245" t="s">
        <v>106</v>
      </c>
      <c r="E245">
        <v>31</v>
      </c>
      <c r="F245" t="s">
        <v>19</v>
      </c>
      <c r="G245" t="s">
        <v>14</v>
      </c>
      <c r="H245" s="2">
        <v>35051</v>
      </c>
      <c r="I245" t="s">
        <v>30</v>
      </c>
    </row>
    <row r="246" spans="1:9" x14ac:dyDescent="0.25">
      <c r="A246" t="s">
        <v>375</v>
      </c>
      <c r="B246" t="s">
        <v>44</v>
      </c>
      <c r="C246" t="s">
        <v>76</v>
      </c>
      <c r="D246" t="s">
        <v>77</v>
      </c>
      <c r="E246">
        <v>34</v>
      </c>
      <c r="F246" t="s">
        <v>13</v>
      </c>
      <c r="G246" t="s">
        <v>36</v>
      </c>
      <c r="H246" s="2">
        <v>33832</v>
      </c>
      <c r="I246" t="s">
        <v>30</v>
      </c>
    </row>
    <row r="247" spans="1:9" x14ac:dyDescent="0.25">
      <c r="A247" t="s">
        <v>376</v>
      </c>
      <c r="B247" t="s">
        <v>44</v>
      </c>
      <c r="C247" t="s">
        <v>45</v>
      </c>
      <c r="D247" t="s">
        <v>46</v>
      </c>
      <c r="E247">
        <v>25</v>
      </c>
      <c r="F247" t="s">
        <v>19</v>
      </c>
      <c r="G247" t="s">
        <v>14</v>
      </c>
      <c r="H247" s="2">
        <v>37158</v>
      </c>
      <c r="I247" t="s">
        <v>21</v>
      </c>
    </row>
    <row r="248" spans="1:9" x14ac:dyDescent="0.25">
      <c r="A248" t="s">
        <v>377</v>
      </c>
      <c r="B248" t="s">
        <v>38</v>
      </c>
      <c r="C248" t="s">
        <v>28</v>
      </c>
      <c r="D248" t="s">
        <v>182</v>
      </c>
      <c r="E248">
        <v>58</v>
      </c>
      <c r="F248" t="s">
        <v>19</v>
      </c>
      <c r="G248" t="s">
        <v>60</v>
      </c>
      <c r="H248" s="2">
        <v>25012</v>
      </c>
      <c r="I248" t="s">
        <v>15</v>
      </c>
    </row>
    <row r="249" spans="1:9" x14ac:dyDescent="0.25">
      <c r="A249" t="s">
        <v>378</v>
      </c>
      <c r="B249" t="s">
        <v>44</v>
      </c>
      <c r="C249" t="s">
        <v>45</v>
      </c>
      <c r="D249" t="s">
        <v>46</v>
      </c>
      <c r="E249">
        <v>48</v>
      </c>
      <c r="F249" t="s">
        <v>13</v>
      </c>
      <c r="G249" t="s">
        <v>47</v>
      </c>
      <c r="H249" s="2">
        <v>28753</v>
      </c>
      <c r="I249" t="s">
        <v>30</v>
      </c>
    </row>
    <row r="250" spans="1:9" x14ac:dyDescent="0.25">
      <c r="A250" t="s">
        <v>379</v>
      </c>
      <c r="B250" t="s">
        <v>17</v>
      </c>
      <c r="C250" t="s">
        <v>62</v>
      </c>
      <c r="D250" t="s">
        <v>63</v>
      </c>
      <c r="E250">
        <v>55</v>
      </c>
      <c r="F250" t="s">
        <v>19</v>
      </c>
      <c r="G250" t="s">
        <v>20</v>
      </c>
      <c r="H250" s="2">
        <v>26105</v>
      </c>
      <c r="I250" t="s">
        <v>15</v>
      </c>
    </row>
    <row r="251" spans="1:9" x14ac:dyDescent="0.25">
      <c r="A251" t="s">
        <v>380</v>
      </c>
      <c r="B251" t="s">
        <v>41</v>
      </c>
      <c r="C251" t="s">
        <v>28</v>
      </c>
      <c r="D251" t="s">
        <v>224</v>
      </c>
      <c r="E251">
        <v>36</v>
      </c>
      <c r="F251" t="s">
        <v>19</v>
      </c>
      <c r="G251" t="s">
        <v>14</v>
      </c>
      <c r="H251" s="2">
        <v>32913</v>
      </c>
      <c r="I251" t="s">
        <v>30</v>
      </c>
    </row>
    <row r="252" spans="1:9" x14ac:dyDescent="0.25">
      <c r="A252" t="s">
        <v>381</v>
      </c>
      <c r="B252" t="s">
        <v>38</v>
      </c>
      <c r="C252" t="s">
        <v>28</v>
      </c>
      <c r="D252" t="s">
        <v>182</v>
      </c>
      <c r="E252">
        <v>67</v>
      </c>
      <c r="F252" t="s">
        <v>19</v>
      </c>
      <c r="G252" t="s">
        <v>60</v>
      </c>
      <c r="H252" s="2">
        <v>21605</v>
      </c>
      <c r="I252" t="s">
        <v>15</v>
      </c>
    </row>
    <row r="253" spans="1:9" x14ac:dyDescent="0.25">
      <c r="A253" t="s">
        <v>382</v>
      </c>
      <c r="B253" t="s">
        <v>44</v>
      </c>
      <c r="C253" t="s">
        <v>28</v>
      </c>
      <c r="D253" t="s">
        <v>155</v>
      </c>
      <c r="E253">
        <v>65</v>
      </c>
      <c r="F253" t="s">
        <v>13</v>
      </c>
      <c r="G253" t="s">
        <v>36</v>
      </c>
      <c r="H253" s="2">
        <v>22513</v>
      </c>
      <c r="I253" t="s">
        <v>15</v>
      </c>
    </row>
    <row r="254" spans="1:9" x14ac:dyDescent="0.25">
      <c r="A254" t="s">
        <v>383</v>
      </c>
      <c r="B254" t="s">
        <v>73</v>
      </c>
      <c r="C254" t="s">
        <v>11</v>
      </c>
      <c r="D254" t="s">
        <v>94</v>
      </c>
      <c r="E254">
        <v>44</v>
      </c>
      <c r="F254" t="s">
        <v>19</v>
      </c>
      <c r="G254" t="s">
        <v>47</v>
      </c>
      <c r="H254" s="2">
        <v>29953</v>
      </c>
      <c r="I254" t="s">
        <v>30</v>
      </c>
    </row>
    <row r="255" spans="1:9" x14ac:dyDescent="0.25">
      <c r="A255" t="s">
        <v>384</v>
      </c>
      <c r="B255" t="s">
        <v>10</v>
      </c>
      <c r="C255" t="s">
        <v>67</v>
      </c>
      <c r="D255" t="s">
        <v>68</v>
      </c>
      <c r="E255">
        <v>24</v>
      </c>
      <c r="F255" t="s">
        <v>13</v>
      </c>
      <c r="G255" t="s">
        <v>20</v>
      </c>
      <c r="H255" s="2">
        <v>37474</v>
      </c>
      <c r="I255" t="s">
        <v>21</v>
      </c>
    </row>
    <row r="256" spans="1:9" x14ac:dyDescent="0.25">
      <c r="A256" t="s">
        <v>385</v>
      </c>
      <c r="B256" t="s">
        <v>10</v>
      </c>
      <c r="C256" t="s">
        <v>45</v>
      </c>
      <c r="D256" t="s">
        <v>126</v>
      </c>
      <c r="E256">
        <v>54</v>
      </c>
      <c r="F256" t="s">
        <v>13</v>
      </c>
      <c r="G256" t="s">
        <v>47</v>
      </c>
      <c r="H256" s="2">
        <v>26546</v>
      </c>
      <c r="I256" t="s">
        <v>15</v>
      </c>
    </row>
    <row r="257" spans="1:9" x14ac:dyDescent="0.25">
      <c r="A257" t="s">
        <v>386</v>
      </c>
      <c r="B257" t="s">
        <v>38</v>
      </c>
      <c r="C257" t="s">
        <v>67</v>
      </c>
      <c r="D257" t="s">
        <v>90</v>
      </c>
      <c r="E257">
        <v>35</v>
      </c>
      <c r="F257" t="s">
        <v>13</v>
      </c>
      <c r="G257" t="s">
        <v>36</v>
      </c>
      <c r="H257" s="2">
        <v>33307</v>
      </c>
      <c r="I257" t="s">
        <v>30</v>
      </c>
    </row>
    <row r="258" spans="1:9" x14ac:dyDescent="0.25">
      <c r="A258" t="s">
        <v>387</v>
      </c>
      <c r="B258" t="s">
        <v>44</v>
      </c>
      <c r="C258" t="s">
        <v>28</v>
      </c>
      <c r="D258" t="s">
        <v>155</v>
      </c>
      <c r="E258">
        <v>48</v>
      </c>
      <c r="F258" t="s">
        <v>19</v>
      </c>
      <c r="G258" t="s">
        <v>20</v>
      </c>
      <c r="H258" s="2">
        <v>28547</v>
      </c>
      <c r="I258" t="s">
        <v>30</v>
      </c>
    </row>
    <row r="259" spans="1:9" x14ac:dyDescent="0.25">
      <c r="A259" t="s">
        <v>388</v>
      </c>
      <c r="B259" t="s">
        <v>17</v>
      </c>
      <c r="C259" t="s">
        <v>28</v>
      </c>
      <c r="D259" t="s">
        <v>167</v>
      </c>
      <c r="E259">
        <v>45</v>
      </c>
      <c r="F259" t="s">
        <v>19</v>
      </c>
      <c r="G259" t="s">
        <v>14</v>
      </c>
      <c r="H259" s="2">
        <v>29804</v>
      </c>
      <c r="I259" t="s">
        <v>30</v>
      </c>
    </row>
    <row r="260" spans="1:9" x14ac:dyDescent="0.25">
      <c r="A260" t="s">
        <v>389</v>
      </c>
      <c r="B260" t="s">
        <v>27</v>
      </c>
      <c r="C260" t="s">
        <v>11</v>
      </c>
      <c r="D260" t="s">
        <v>79</v>
      </c>
      <c r="E260">
        <v>44</v>
      </c>
      <c r="F260" t="s">
        <v>13</v>
      </c>
      <c r="G260" t="s">
        <v>60</v>
      </c>
      <c r="H260" s="2">
        <v>30181</v>
      </c>
      <c r="I260" t="s">
        <v>30</v>
      </c>
    </row>
    <row r="261" spans="1:9" x14ac:dyDescent="0.25">
      <c r="A261" t="s">
        <v>390</v>
      </c>
      <c r="B261" t="s">
        <v>54</v>
      </c>
      <c r="C261" t="s">
        <v>51</v>
      </c>
      <c r="D261" t="s">
        <v>104</v>
      </c>
      <c r="E261">
        <v>47</v>
      </c>
      <c r="F261" t="s">
        <v>13</v>
      </c>
      <c r="G261" t="s">
        <v>14</v>
      </c>
      <c r="H261" s="2">
        <v>28870</v>
      </c>
      <c r="I261" t="s">
        <v>30</v>
      </c>
    </row>
    <row r="262" spans="1:9" x14ac:dyDescent="0.25">
      <c r="A262" t="s">
        <v>391</v>
      </c>
      <c r="B262" t="s">
        <v>27</v>
      </c>
      <c r="C262" t="s">
        <v>62</v>
      </c>
      <c r="D262" t="s">
        <v>65</v>
      </c>
      <c r="E262">
        <v>41</v>
      </c>
      <c r="F262" t="s">
        <v>13</v>
      </c>
      <c r="G262" t="s">
        <v>47</v>
      </c>
      <c r="H262" s="2">
        <v>31248</v>
      </c>
      <c r="I262" t="s">
        <v>30</v>
      </c>
    </row>
    <row r="263" spans="1:9" x14ac:dyDescent="0.25">
      <c r="A263" t="s">
        <v>392</v>
      </c>
      <c r="B263" t="s">
        <v>44</v>
      </c>
      <c r="C263" t="s">
        <v>24</v>
      </c>
      <c r="D263" t="s">
        <v>97</v>
      </c>
      <c r="E263">
        <v>54</v>
      </c>
      <c r="F263" t="s">
        <v>13</v>
      </c>
      <c r="G263" t="s">
        <v>60</v>
      </c>
      <c r="H263" s="2">
        <v>26627</v>
      </c>
      <c r="I263" t="s">
        <v>15</v>
      </c>
    </row>
    <row r="264" spans="1:9" x14ac:dyDescent="0.25">
      <c r="A264" t="s">
        <v>393</v>
      </c>
      <c r="B264" t="s">
        <v>44</v>
      </c>
      <c r="C264" t="s">
        <v>45</v>
      </c>
      <c r="D264" t="s">
        <v>46</v>
      </c>
      <c r="E264">
        <v>22</v>
      </c>
      <c r="F264" t="s">
        <v>13</v>
      </c>
      <c r="G264" t="s">
        <v>20</v>
      </c>
      <c r="H264" s="2">
        <v>38266</v>
      </c>
      <c r="I264" t="s">
        <v>21</v>
      </c>
    </row>
    <row r="265" spans="1:9" x14ac:dyDescent="0.25">
      <c r="A265" t="s">
        <v>394</v>
      </c>
      <c r="B265" t="s">
        <v>27</v>
      </c>
      <c r="C265" t="s">
        <v>34</v>
      </c>
      <c r="D265" t="s">
        <v>35</v>
      </c>
      <c r="E265">
        <v>62</v>
      </c>
      <c r="F265" t="s">
        <v>19</v>
      </c>
      <c r="G265" t="s">
        <v>20</v>
      </c>
      <c r="H265" s="2">
        <v>23714</v>
      </c>
      <c r="I265" t="s">
        <v>15</v>
      </c>
    </row>
    <row r="266" spans="1:9" x14ac:dyDescent="0.25">
      <c r="A266" t="s">
        <v>395</v>
      </c>
      <c r="B266" t="s">
        <v>17</v>
      </c>
      <c r="C266" t="s">
        <v>67</v>
      </c>
      <c r="D266" t="s">
        <v>403</v>
      </c>
      <c r="E266">
        <v>70</v>
      </c>
      <c r="F266" t="s">
        <v>13</v>
      </c>
      <c r="G266" t="s">
        <v>60</v>
      </c>
      <c r="H266" s="2">
        <v>20536</v>
      </c>
      <c r="I266" t="s">
        <v>15</v>
      </c>
    </row>
    <row r="267" spans="1:9" x14ac:dyDescent="0.25">
      <c r="A267" t="s">
        <v>396</v>
      </c>
      <c r="B267" t="s">
        <v>54</v>
      </c>
      <c r="C267" t="s">
        <v>67</v>
      </c>
      <c r="D267" t="s">
        <v>305</v>
      </c>
      <c r="E267">
        <v>67</v>
      </c>
      <c r="F267" t="s">
        <v>13</v>
      </c>
      <c r="G267" t="s">
        <v>60</v>
      </c>
      <c r="H267" s="2">
        <v>21697</v>
      </c>
      <c r="I267" t="s">
        <v>15</v>
      </c>
    </row>
    <row r="268" spans="1:9" x14ac:dyDescent="0.25">
      <c r="A268" t="s">
        <v>397</v>
      </c>
      <c r="B268" t="s">
        <v>10</v>
      </c>
      <c r="C268" t="s">
        <v>67</v>
      </c>
      <c r="D268" t="s">
        <v>68</v>
      </c>
      <c r="E268">
        <v>66</v>
      </c>
      <c r="F268" t="s">
        <v>19</v>
      </c>
      <c r="G268" t="s">
        <v>47</v>
      </c>
      <c r="H268" s="2">
        <v>22208</v>
      </c>
      <c r="I268" t="s">
        <v>15</v>
      </c>
    </row>
    <row r="269" spans="1:9" x14ac:dyDescent="0.25">
      <c r="A269" t="s">
        <v>398</v>
      </c>
      <c r="B269" t="s">
        <v>38</v>
      </c>
      <c r="C269" t="s">
        <v>67</v>
      </c>
      <c r="D269" t="s">
        <v>90</v>
      </c>
      <c r="E269">
        <v>56</v>
      </c>
      <c r="F269" t="s">
        <v>13</v>
      </c>
      <c r="G269" t="s">
        <v>36</v>
      </c>
      <c r="H269" s="2">
        <v>25888</v>
      </c>
      <c r="I269" t="s">
        <v>15</v>
      </c>
    </row>
    <row r="270" spans="1:9" x14ac:dyDescent="0.25">
      <c r="A270" t="s">
        <v>400</v>
      </c>
      <c r="B270" t="s">
        <v>23</v>
      </c>
      <c r="C270" t="s">
        <v>67</v>
      </c>
      <c r="D270" t="s">
        <v>341</v>
      </c>
      <c r="E270">
        <v>53</v>
      </c>
      <c r="F270" t="s">
        <v>19</v>
      </c>
      <c r="G270" t="s">
        <v>20</v>
      </c>
      <c r="H270" s="2">
        <v>26952</v>
      </c>
      <c r="I270" t="s">
        <v>15</v>
      </c>
    </row>
    <row r="271" spans="1:9" x14ac:dyDescent="0.25">
      <c r="A271" t="s">
        <v>401</v>
      </c>
      <c r="B271" t="s">
        <v>10</v>
      </c>
      <c r="C271" t="s">
        <v>28</v>
      </c>
      <c r="D271" t="s">
        <v>194</v>
      </c>
      <c r="E271">
        <v>70</v>
      </c>
      <c r="F271" t="s">
        <v>13</v>
      </c>
      <c r="G271" t="s">
        <v>36</v>
      </c>
      <c r="H271" s="2">
        <v>20810</v>
      </c>
      <c r="I271" t="s">
        <v>15</v>
      </c>
    </row>
    <row r="272" spans="1:9" x14ac:dyDescent="0.25">
      <c r="A272" t="s">
        <v>402</v>
      </c>
      <c r="B272" t="s">
        <v>44</v>
      </c>
      <c r="C272" t="s">
        <v>11</v>
      </c>
      <c r="D272" t="s">
        <v>246</v>
      </c>
      <c r="E272">
        <v>26</v>
      </c>
      <c r="F272" t="s">
        <v>13</v>
      </c>
      <c r="G272" t="s">
        <v>60</v>
      </c>
      <c r="H272" s="2">
        <v>36688</v>
      </c>
      <c r="I272" t="s">
        <v>21</v>
      </c>
    </row>
    <row r="273" spans="1:9" x14ac:dyDescent="0.25">
      <c r="A273" t="s">
        <v>404</v>
      </c>
      <c r="B273" t="s">
        <v>10</v>
      </c>
      <c r="C273" t="s">
        <v>11</v>
      </c>
      <c r="D273" t="s">
        <v>12</v>
      </c>
      <c r="E273">
        <v>49</v>
      </c>
      <c r="F273" t="s">
        <v>19</v>
      </c>
      <c r="G273" t="s">
        <v>36</v>
      </c>
      <c r="H273" s="2">
        <v>28258</v>
      </c>
      <c r="I273" t="s">
        <v>30</v>
      </c>
    </row>
    <row r="274" spans="1:9" x14ac:dyDescent="0.25">
      <c r="A274" t="s">
        <v>405</v>
      </c>
      <c r="B274" t="s">
        <v>54</v>
      </c>
      <c r="C274" t="s">
        <v>51</v>
      </c>
      <c r="D274" t="s">
        <v>104</v>
      </c>
      <c r="E274">
        <v>47</v>
      </c>
      <c r="F274" t="s">
        <v>19</v>
      </c>
      <c r="G274" t="s">
        <v>60</v>
      </c>
      <c r="H274" s="2">
        <v>28922</v>
      </c>
      <c r="I274" t="s">
        <v>30</v>
      </c>
    </row>
    <row r="275" spans="1:9" x14ac:dyDescent="0.25">
      <c r="A275" t="s">
        <v>406</v>
      </c>
      <c r="B275" t="s">
        <v>85</v>
      </c>
      <c r="C275" t="s">
        <v>11</v>
      </c>
      <c r="D275" t="s">
        <v>86</v>
      </c>
      <c r="E275">
        <v>24</v>
      </c>
      <c r="F275" t="s">
        <v>13</v>
      </c>
      <c r="G275" t="s">
        <v>20</v>
      </c>
      <c r="H275" s="2">
        <v>37496</v>
      </c>
      <c r="I275" t="s">
        <v>21</v>
      </c>
    </row>
    <row r="276" spans="1:9" x14ac:dyDescent="0.25">
      <c r="A276" t="s">
        <v>407</v>
      </c>
      <c r="B276" t="s">
        <v>44</v>
      </c>
      <c r="C276" t="s">
        <v>51</v>
      </c>
      <c r="D276" t="s">
        <v>133</v>
      </c>
      <c r="E276">
        <v>40</v>
      </c>
      <c r="F276" t="s">
        <v>13</v>
      </c>
      <c r="G276" t="s">
        <v>14</v>
      </c>
      <c r="H276" s="2">
        <v>31728</v>
      </c>
      <c r="I276" t="s">
        <v>30</v>
      </c>
    </row>
    <row r="277" spans="1:9" x14ac:dyDescent="0.25">
      <c r="A277" t="s">
        <v>408</v>
      </c>
      <c r="B277" t="s">
        <v>27</v>
      </c>
      <c r="C277" t="s">
        <v>70</v>
      </c>
      <c r="D277" t="s">
        <v>81</v>
      </c>
      <c r="E277">
        <v>41</v>
      </c>
      <c r="F277" t="s">
        <v>13</v>
      </c>
      <c r="G277" t="s">
        <v>20</v>
      </c>
      <c r="H277" s="2">
        <v>31202</v>
      </c>
      <c r="I277" t="s">
        <v>30</v>
      </c>
    </row>
    <row r="278" spans="1:9" x14ac:dyDescent="0.25">
      <c r="A278" t="s">
        <v>409</v>
      </c>
      <c r="B278" t="s">
        <v>27</v>
      </c>
      <c r="C278" t="s">
        <v>62</v>
      </c>
      <c r="D278" t="s">
        <v>65</v>
      </c>
      <c r="E278">
        <v>66</v>
      </c>
      <c r="F278" t="s">
        <v>13</v>
      </c>
      <c r="G278" t="s">
        <v>14</v>
      </c>
      <c r="H278" s="2">
        <v>22083</v>
      </c>
      <c r="I278" t="s">
        <v>15</v>
      </c>
    </row>
    <row r="279" spans="1:9" x14ac:dyDescent="0.25">
      <c r="A279" t="s">
        <v>410</v>
      </c>
      <c r="B279" t="s">
        <v>23</v>
      </c>
      <c r="C279" t="s">
        <v>62</v>
      </c>
      <c r="D279" t="s">
        <v>273</v>
      </c>
      <c r="E279">
        <v>42</v>
      </c>
      <c r="F279" t="s">
        <v>13</v>
      </c>
      <c r="G279" t="s">
        <v>20</v>
      </c>
      <c r="H279" s="2">
        <v>30742</v>
      </c>
      <c r="I279" t="s">
        <v>30</v>
      </c>
    </row>
    <row r="280" spans="1:9" x14ac:dyDescent="0.25">
      <c r="A280" t="s">
        <v>411</v>
      </c>
      <c r="B280" t="s">
        <v>73</v>
      </c>
      <c r="C280" t="s">
        <v>67</v>
      </c>
      <c r="D280" t="s">
        <v>339</v>
      </c>
      <c r="E280">
        <v>67</v>
      </c>
      <c r="F280" t="s">
        <v>19</v>
      </c>
      <c r="G280" t="s">
        <v>14</v>
      </c>
      <c r="H280" s="2">
        <v>21612</v>
      </c>
      <c r="I280" t="s">
        <v>15</v>
      </c>
    </row>
    <row r="281" spans="1:9" x14ac:dyDescent="0.25">
      <c r="A281" t="s">
        <v>412</v>
      </c>
      <c r="B281" t="s">
        <v>10</v>
      </c>
      <c r="C281" t="s">
        <v>70</v>
      </c>
      <c r="D281" t="s">
        <v>208</v>
      </c>
      <c r="E281">
        <v>58</v>
      </c>
      <c r="F281" t="s">
        <v>19</v>
      </c>
      <c r="G281" t="s">
        <v>36</v>
      </c>
      <c r="H281" s="2">
        <v>25195</v>
      </c>
      <c r="I281" t="s">
        <v>15</v>
      </c>
    </row>
    <row r="282" spans="1:9" x14ac:dyDescent="0.25">
      <c r="A282" t="s">
        <v>413</v>
      </c>
      <c r="B282" t="s">
        <v>73</v>
      </c>
      <c r="C282" t="s">
        <v>28</v>
      </c>
      <c r="D282" t="s">
        <v>189</v>
      </c>
      <c r="E282">
        <v>58</v>
      </c>
      <c r="F282" t="s">
        <v>13</v>
      </c>
      <c r="G282" t="s">
        <v>47</v>
      </c>
      <c r="H282" s="2">
        <v>24848</v>
      </c>
      <c r="I282" t="s">
        <v>15</v>
      </c>
    </row>
    <row r="283" spans="1:9" x14ac:dyDescent="0.25">
      <c r="A283" t="s">
        <v>414</v>
      </c>
      <c r="B283" t="s">
        <v>17</v>
      </c>
      <c r="C283" t="s">
        <v>70</v>
      </c>
      <c r="D283" t="s">
        <v>110</v>
      </c>
      <c r="E283">
        <v>40</v>
      </c>
      <c r="F283" t="s">
        <v>13</v>
      </c>
      <c r="G283" t="s">
        <v>47</v>
      </c>
      <c r="H283" s="2">
        <v>31724</v>
      </c>
      <c r="I283" t="s">
        <v>30</v>
      </c>
    </row>
    <row r="284" spans="1:9" x14ac:dyDescent="0.25">
      <c r="A284" t="s">
        <v>415</v>
      </c>
      <c r="B284" t="s">
        <v>23</v>
      </c>
      <c r="C284" t="s">
        <v>62</v>
      </c>
      <c r="D284" t="s">
        <v>273</v>
      </c>
      <c r="E284">
        <v>59</v>
      </c>
      <c r="F284" t="s">
        <v>19</v>
      </c>
      <c r="G284" t="s">
        <v>47</v>
      </c>
      <c r="H284" s="2">
        <v>24642</v>
      </c>
      <c r="I284" t="s">
        <v>15</v>
      </c>
    </row>
    <row r="285" spans="1:9" x14ac:dyDescent="0.25">
      <c r="A285" t="s">
        <v>417</v>
      </c>
      <c r="B285" t="s">
        <v>54</v>
      </c>
      <c r="C285" t="s">
        <v>67</v>
      </c>
      <c r="D285" t="s">
        <v>305</v>
      </c>
      <c r="E285">
        <v>66</v>
      </c>
      <c r="F285" t="s">
        <v>13</v>
      </c>
      <c r="G285" t="s">
        <v>36</v>
      </c>
      <c r="H285" s="2">
        <v>21963</v>
      </c>
      <c r="I285" t="s">
        <v>15</v>
      </c>
    </row>
    <row r="286" spans="1:9" x14ac:dyDescent="0.25">
      <c r="A286" t="s">
        <v>418</v>
      </c>
      <c r="B286" t="s">
        <v>23</v>
      </c>
      <c r="C286" t="s">
        <v>67</v>
      </c>
      <c r="D286" t="s">
        <v>341</v>
      </c>
      <c r="E286">
        <v>30</v>
      </c>
      <c r="F286" t="s">
        <v>19</v>
      </c>
      <c r="G286" t="s">
        <v>20</v>
      </c>
      <c r="H286" s="2">
        <v>35140</v>
      </c>
      <c r="I286" t="s">
        <v>30</v>
      </c>
    </row>
    <row r="287" spans="1:9" x14ac:dyDescent="0.25">
      <c r="A287" t="s">
        <v>419</v>
      </c>
      <c r="B287" t="s">
        <v>54</v>
      </c>
      <c r="C287" t="s">
        <v>70</v>
      </c>
      <c r="D287" t="s">
        <v>71</v>
      </c>
      <c r="E287">
        <v>28</v>
      </c>
      <c r="F287" t="s">
        <v>13</v>
      </c>
      <c r="G287" t="s">
        <v>47</v>
      </c>
      <c r="H287" s="2">
        <v>35974</v>
      </c>
      <c r="I287" t="s">
        <v>21</v>
      </c>
    </row>
    <row r="288" spans="1:9" x14ac:dyDescent="0.25">
      <c r="A288" t="s">
        <v>420</v>
      </c>
      <c r="B288" t="s">
        <v>41</v>
      </c>
      <c r="C288" t="s">
        <v>76</v>
      </c>
      <c r="D288" t="s">
        <v>276</v>
      </c>
      <c r="E288">
        <v>35</v>
      </c>
      <c r="F288" t="s">
        <v>13</v>
      </c>
      <c r="G288" t="s">
        <v>20</v>
      </c>
      <c r="H288" s="2">
        <v>33468</v>
      </c>
      <c r="I288" t="s">
        <v>30</v>
      </c>
    </row>
    <row r="289" spans="1:9" x14ac:dyDescent="0.25">
      <c r="A289" t="s">
        <v>422</v>
      </c>
      <c r="B289" t="s">
        <v>41</v>
      </c>
      <c r="C289" t="s">
        <v>51</v>
      </c>
      <c r="D289" t="s">
        <v>57</v>
      </c>
      <c r="E289">
        <v>64</v>
      </c>
      <c r="F289" t="s">
        <v>19</v>
      </c>
      <c r="G289" t="s">
        <v>60</v>
      </c>
      <c r="H289" s="2">
        <v>22684</v>
      </c>
      <c r="I289" t="s">
        <v>15</v>
      </c>
    </row>
    <row r="290" spans="1:9" x14ac:dyDescent="0.25">
      <c r="A290" t="s">
        <v>423</v>
      </c>
      <c r="B290" t="s">
        <v>23</v>
      </c>
      <c r="C290" t="s">
        <v>24</v>
      </c>
      <c r="D290" t="s">
        <v>25</v>
      </c>
      <c r="E290">
        <v>27</v>
      </c>
      <c r="F290" t="s">
        <v>13</v>
      </c>
      <c r="G290" t="s">
        <v>36</v>
      </c>
      <c r="H290" s="2">
        <v>36337</v>
      </c>
      <c r="I290" t="s">
        <v>21</v>
      </c>
    </row>
    <row r="291" spans="1:9" x14ac:dyDescent="0.25">
      <c r="A291" t="s">
        <v>424</v>
      </c>
      <c r="B291" t="s">
        <v>73</v>
      </c>
      <c r="C291" t="s">
        <v>62</v>
      </c>
      <c r="D291" t="s">
        <v>135</v>
      </c>
      <c r="E291">
        <v>49</v>
      </c>
      <c r="F291" t="s">
        <v>13</v>
      </c>
      <c r="G291" t="s">
        <v>14</v>
      </c>
      <c r="H291" s="2">
        <v>28327</v>
      </c>
      <c r="I291" t="s">
        <v>30</v>
      </c>
    </row>
    <row r="292" spans="1:9" x14ac:dyDescent="0.25">
      <c r="A292" t="s">
        <v>425</v>
      </c>
      <c r="B292" t="s">
        <v>10</v>
      </c>
      <c r="C292" t="s">
        <v>24</v>
      </c>
      <c r="D292" t="s">
        <v>282</v>
      </c>
      <c r="E292">
        <v>32</v>
      </c>
      <c r="F292" t="s">
        <v>19</v>
      </c>
      <c r="G292" t="s">
        <v>14</v>
      </c>
      <c r="H292" s="2">
        <v>34587</v>
      </c>
      <c r="I292" t="s">
        <v>30</v>
      </c>
    </row>
    <row r="293" spans="1:9" x14ac:dyDescent="0.25">
      <c r="A293" t="s">
        <v>426</v>
      </c>
      <c r="B293" t="s">
        <v>27</v>
      </c>
      <c r="C293" t="s">
        <v>62</v>
      </c>
      <c r="D293" t="s">
        <v>65</v>
      </c>
      <c r="E293">
        <v>48</v>
      </c>
      <c r="F293" t="s">
        <v>13</v>
      </c>
      <c r="G293" t="s">
        <v>36</v>
      </c>
      <c r="H293" s="2">
        <v>28543</v>
      </c>
      <c r="I293" t="s">
        <v>30</v>
      </c>
    </row>
    <row r="294" spans="1:9" x14ac:dyDescent="0.25">
      <c r="A294" t="s">
        <v>427</v>
      </c>
      <c r="B294" t="s">
        <v>73</v>
      </c>
      <c r="C294" t="s">
        <v>28</v>
      </c>
      <c r="D294" t="s">
        <v>189</v>
      </c>
      <c r="E294">
        <v>66</v>
      </c>
      <c r="F294" t="s">
        <v>19</v>
      </c>
      <c r="G294" t="s">
        <v>36</v>
      </c>
      <c r="H294" s="2">
        <v>22196</v>
      </c>
      <c r="I294" t="s">
        <v>15</v>
      </c>
    </row>
    <row r="295" spans="1:9" x14ac:dyDescent="0.25">
      <c r="A295" t="s">
        <v>428</v>
      </c>
      <c r="B295" t="s">
        <v>44</v>
      </c>
      <c r="C295" t="s">
        <v>45</v>
      </c>
      <c r="D295" t="s">
        <v>46</v>
      </c>
      <c r="E295">
        <v>57</v>
      </c>
      <c r="F295" t="s">
        <v>13</v>
      </c>
      <c r="G295" t="s">
        <v>47</v>
      </c>
      <c r="H295" s="2">
        <v>25228</v>
      </c>
      <c r="I295" t="s">
        <v>15</v>
      </c>
    </row>
    <row r="296" spans="1:9" x14ac:dyDescent="0.25">
      <c r="A296" t="s">
        <v>429</v>
      </c>
      <c r="B296" t="s">
        <v>44</v>
      </c>
      <c r="C296" t="s">
        <v>51</v>
      </c>
      <c r="D296" t="s">
        <v>133</v>
      </c>
      <c r="E296">
        <v>25</v>
      </c>
      <c r="F296" t="s">
        <v>19</v>
      </c>
      <c r="G296" t="s">
        <v>36</v>
      </c>
      <c r="H296" s="2">
        <v>36926</v>
      </c>
      <c r="I296" t="s">
        <v>21</v>
      </c>
    </row>
    <row r="297" spans="1:9" x14ac:dyDescent="0.25">
      <c r="A297" t="s">
        <v>430</v>
      </c>
      <c r="B297" t="s">
        <v>17</v>
      </c>
      <c r="C297" t="s">
        <v>24</v>
      </c>
      <c r="D297" t="s">
        <v>262</v>
      </c>
      <c r="E297">
        <v>24</v>
      </c>
      <c r="F297" t="s">
        <v>13</v>
      </c>
      <c r="G297" t="s">
        <v>14</v>
      </c>
      <c r="H297" s="2">
        <v>37576</v>
      </c>
      <c r="I297" t="s">
        <v>21</v>
      </c>
    </row>
    <row r="298" spans="1:9" x14ac:dyDescent="0.25">
      <c r="A298" t="s">
        <v>431</v>
      </c>
      <c r="B298" t="s">
        <v>73</v>
      </c>
      <c r="C298" t="s">
        <v>67</v>
      </c>
      <c r="D298" t="s">
        <v>339</v>
      </c>
      <c r="E298">
        <v>54</v>
      </c>
      <c r="F298" t="s">
        <v>13</v>
      </c>
      <c r="G298" t="s">
        <v>14</v>
      </c>
      <c r="H298" s="2">
        <v>26538</v>
      </c>
      <c r="I298" t="s">
        <v>15</v>
      </c>
    </row>
    <row r="299" spans="1:9" x14ac:dyDescent="0.25">
      <c r="A299" t="s">
        <v>432</v>
      </c>
      <c r="B299" t="s">
        <v>23</v>
      </c>
      <c r="C299" t="s">
        <v>11</v>
      </c>
      <c r="D299" t="s">
        <v>124</v>
      </c>
      <c r="E299">
        <v>60</v>
      </c>
      <c r="F299" t="s">
        <v>13</v>
      </c>
      <c r="G299" t="s">
        <v>14</v>
      </c>
      <c r="H299" s="2">
        <v>24355</v>
      </c>
      <c r="I299" t="s">
        <v>15</v>
      </c>
    </row>
    <row r="300" spans="1:9" x14ac:dyDescent="0.25">
      <c r="A300" t="s">
        <v>433</v>
      </c>
      <c r="B300" t="s">
        <v>38</v>
      </c>
      <c r="C300" t="s">
        <v>34</v>
      </c>
      <c r="D300" t="s">
        <v>49</v>
      </c>
      <c r="E300">
        <v>50</v>
      </c>
      <c r="F300" t="s">
        <v>19</v>
      </c>
      <c r="G300" t="s">
        <v>47</v>
      </c>
      <c r="H300" s="2">
        <v>27822</v>
      </c>
      <c r="I300" t="s">
        <v>15</v>
      </c>
    </row>
    <row r="301" spans="1:9" x14ac:dyDescent="0.25">
      <c r="A301" t="s">
        <v>434</v>
      </c>
      <c r="B301" t="s">
        <v>27</v>
      </c>
      <c r="C301" t="s">
        <v>51</v>
      </c>
      <c r="D301" t="s">
        <v>300</v>
      </c>
      <c r="E301">
        <v>29</v>
      </c>
      <c r="F301" t="s">
        <v>13</v>
      </c>
      <c r="G301" t="s">
        <v>60</v>
      </c>
      <c r="H301" s="2">
        <v>35509</v>
      </c>
      <c r="I301" t="s">
        <v>21</v>
      </c>
    </row>
    <row r="302" spans="1:9" x14ac:dyDescent="0.25">
      <c r="A302" t="s">
        <v>435</v>
      </c>
      <c r="B302" t="s">
        <v>10</v>
      </c>
      <c r="C302" t="s">
        <v>70</v>
      </c>
      <c r="D302" t="s">
        <v>208</v>
      </c>
      <c r="E302">
        <v>58</v>
      </c>
      <c r="F302" t="s">
        <v>19</v>
      </c>
      <c r="G302" t="s">
        <v>14</v>
      </c>
      <c r="H302" s="2">
        <v>24962</v>
      </c>
      <c r="I302" t="s">
        <v>15</v>
      </c>
    </row>
    <row r="303" spans="1:9" x14ac:dyDescent="0.25">
      <c r="A303" t="s">
        <v>436</v>
      </c>
      <c r="B303" t="s">
        <v>73</v>
      </c>
      <c r="C303" t="s">
        <v>70</v>
      </c>
      <c r="D303" t="s">
        <v>142</v>
      </c>
      <c r="E303">
        <v>40</v>
      </c>
      <c r="F303" t="s">
        <v>13</v>
      </c>
      <c r="G303" t="s">
        <v>60</v>
      </c>
      <c r="H303" s="2">
        <v>31456</v>
      </c>
      <c r="I303" t="s">
        <v>30</v>
      </c>
    </row>
    <row r="304" spans="1:9" x14ac:dyDescent="0.25">
      <c r="A304" t="s">
        <v>437</v>
      </c>
      <c r="B304" t="s">
        <v>17</v>
      </c>
      <c r="C304" t="s">
        <v>24</v>
      </c>
      <c r="D304" t="s">
        <v>262</v>
      </c>
      <c r="E304">
        <v>33</v>
      </c>
      <c r="F304" t="s">
        <v>13</v>
      </c>
      <c r="G304" t="s">
        <v>14</v>
      </c>
      <c r="H304" s="2">
        <v>34304</v>
      </c>
      <c r="I304" t="s">
        <v>30</v>
      </c>
    </row>
    <row r="305" spans="1:9" x14ac:dyDescent="0.25">
      <c r="A305" t="s">
        <v>438</v>
      </c>
      <c r="B305" t="s">
        <v>54</v>
      </c>
      <c r="C305" t="s">
        <v>24</v>
      </c>
      <c r="D305" t="s">
        <v>176</v>
      </c>
      <c r="E305">
        <v>21</v>
      </c>
      <c r="F305" t="s">
        <v>19</v>
      </c>
      <c r="G305" t="s">
        <v>20</v>
      </c>
      <c r="H305" s="2">
        <v>38498</v>
      </c>
      <c r="I305" t="s">
        <v>21</v>
      </c>
    </row>
    <row r="306" spans="1:9" x14ac:dyDescent="0.25">
      <c r="A306" t="s">
        <v>439</v>
      </c>
      <c r="B306" t="s">
        <v>17</v>
      </c>
      <c r="C306" t="s">
        <v>67</v>
      </c>
      <c r="D306" t="s">
        <v>403</v>
      </c>
      <c r="E306">
        <v>36</v>
      </c>
      <c r="F306" t="s">
        <v>19</v>
      </c>
      <c r="G306" t="s">
        <v>47</v>
      </c>
      <c r="H306" s="2">
        <v>33025</v>
      </c>
      <c r="I306" t="s">
        <v>30</v>
      </c>
    </row>
    <row r="307" spans="1:9" x14ac:dyDescent="0.25">
      <c r="A307" t="s">
        <v>440</v>
      </c>
      <c r="B307" t="s">
        <v>27</v>
      </c>
      <c r="C307" t="s">
        <v>76</v>
      </c>
      <c r="D307" t="s">
        <v>174</v>
      </c>
      <c r="E307">
        <v>46</v>
      </c>
      <c r="F307" t="s">
        <v>19</v>
      </c>
      <c r="G307" t="s">
        <v>14</v>
      </c>
      <c r="H307" s="2">
        <v>29450</v>
      </c>
      <c r="I307" t="s">
        <v>30</v>
      </c>
    </row>
    <row r="308" spans="1:9" x14ac:dyDescent="0.25">
      <c r="A308" t="s">
        <v>441</v>
      </c>
      <c r="B308" t="s">
        <v>23</v>
      </c>
      <c r="C308" t="s">
        <v>24</v>
      </c>
      <c r="D308" t="s">
        <v>25</v>
      </c>
      <c r="E308">
        <v>44</v>
      </c>
      <c r="F308" t="s">
        <v>19</v>
      </c>
      <c r="G308" t="s">
        <v>60</v>
      </c>
      <c r="H308" s="2">
        <v>30219</v>
      </c>
      <c r="I308" t="s">
        <v>30</v>
      </c>
    </row>
    <row r="309" spans="1:9" x14ac:dyDescent="0.25">
      <c r="A309" t="s">
        <v>442</v>
      </c>
      <c r="B309" t="s">
        <v>38</v>
      </c>
      <c r="C309" t="s">
        <v>24</v>
      </c>
      <c r="D309" t="s">
        <v>39</v>
      </c>
      <c r="E309">
        <v>64</v>
      </c>
      <c r="F309" t="s">
        <v>19</v>
      </c>
      <c r="G309" t="s">
        <v>20</v>
      </c>
      <c r="H309" s="2">
        <v>22800</v>
      </c>
      <c r="I309" t="s">
        <v>15</v>
      </c>
    </row>
    <row r="310" spans="1:9" x14ac:dyDescent="0.25">
      <c r="A310" t="s">
        <v>443</v>
      </c>
      <c r="B310" t="s">
        <v>44</v>
      </c>
      <c r="C310" t="s">
        <v>76</v>
      </c>
      <c r="D310" t="s">
        <v>77</v>
      </c>
      <c r="E310">
        <v>24</v>
      </c>
      <c r="F310" t="s">
        <v>19</v>
      </c>
      <c r="G310" t="s">
        <v>60</v>
      </c>
      <c r="H310" s="2">
        <v>37378</v>
      </c>
      <c r="I310" t="s">
        <v>21</v>
      </c>
    </row>
    <row r="311" spans="1:9" x14ac:dyDescent="0.25">
      <c r="A311" t="s">
        <v>444</v>
      </c>
      <c r="B311" t="s">
        <v>85</v>
      </c>
      <c r="C311" t="s">
        <v>11</v>
      </c>
      <c r="D311" t="s">
        <v>86</v>
      </c>
      <c r="E311">
        <v>42</v>
      </c>
      <c r="F311" t="s">
        <v>19</v>
      </c>
      <c r="G311" t="s">
        <v>36</v>
      </c>
      <c r="H311" s="2">
        <v>30755</v>
      </c>
      <c r="I311" t="s">
        <v>30</v>
      </c>
    </row>
    <row r="312" spans="1:9" x14ac:dyDescent="0.25">
      <c r="A312" t="s">
        <v>445</v>
      </c>
      <c r="B312" t="s">
        <v>85</v>
      </c>
      <c r="C312" t="s">
        <v>76</v>
      </c>
      <c r="D312" t="s">
        <v>197</v>
      </c>
      <c r="E312">
        <v>31</v>
      </c>
      <c r="F312" t="s">
        <v>13</v>
      </c>
      <c r="G312" t="s">
        <v>60</v>
      </c>
      <c r="H312" s="2">
        <v>34892</v>
      </c>
      <c r="I312" t="s">
        <v>30</v>
      </c>
    </row>
    <row r="313" spans="1:9" x14ac:dyDescent="0.25">
      <c r="A313" t="s">
        <v>446</v>
      </c>
      <c r="B313" t="s">
        <v>10</v>
      </c>
      <c r="C313" t="s">
        <v>62</v>
      </c>
      <c r="D313" t="s">
        <v>313</v>
      </c>
      <c r="E313">
        <v>42</v>
      </c>
      <c r="F313" t="s">
        <v>13</v>
      </c>
      <c r="G313" t="s">
        <v>36</v>
      </c>
      <c r="H313" s="2">
        <v>30951</v>
      </c>
      <c r="I313" t="s">
        <v>30</v>
      </c>
    </row>
    <row r="314" spans="1:9" x14ac:dyDescent="0.25">
      <c r="A314" t="s">
        <v>447</v>
      </c>
      <c r="B314" t="s">
        <v>54</v>
      </c>
      <c r="C314" t="s">
        <v>45</v>
      </c>
      <c r="D314" t="s">
        <v>92</v>
      </c>
      <c r="E314">
        <v>64</v>
      </c>
      <c r="F314" t="s">
        <v>13</v>
      </c>
      <c r="G314" t="s">
        <v>20</v>
      </c>
      <c r="H314" s="2">
        <v>22690</v>
      </c>
      <c r="I314" t="s">
        <v>15</v>
      </c>
    </row>
    <row r="315" spans="1:9" x14ac:dyDescent="0.25">
      <c r="A315" t="s">
        <v>448</v>
      </c>
      <c r="B315" t="s">
        <v>38</v>
      </c>
      <c r="C315" t="s">
        <v>70</v>
      </c>
      <c r="D315" t="s">
        <v>399</v>
      </c>
      <c r="E315">
        <v>34</v>
      </c>
      <c r="F315" t="s">
        <v>13</v>
      </c>
      <c r="G315" t="s">
        <v>20</v>
      </c>
      <c r="H315" s="2">
        <v>33682</v>
      </c>
      <c r="I315" t="s">
        <v>30</v>
      </c>
    </row>
    <row r="316" spans="1:9" x14ac:dyDescent="0.25">
      <c r="A316" t="s">
        <v>449</v>
      </c>
      <c r="B316" t="s">
        <v>27</v>
      </c>
      <c r="C316" t="s">
        <v>34</v>
      </c>
      <c r="D316" t="s">
        <v>35</v>
      </c>
      <c r="E316">
        <v>57</v>
      </c>
      <c r="F316" t="s">
        <v>19</v>
      </c>
      <c r="G316" t="s">
        <v>60</v>
      </c>
      <c r="H316" s="2">
        <v>25217</v>
      </c>
      <c r="I316" t="s">
        <v>15</v>
      </c>
    </row>
    <row r="317" spans="1:9" x14ac:dyDescent="0.25">
      <c r="A317" t="s">
        <v>450</v>
      </c>
      <c r="B317" t="s">
        <v>38</v>
      </c>
      <c r="C317" t="s">
        <v>76</v>
      </c>
      <c r="D317" t="s">
        <v>118</v>
      </c>
      <c r="E317">
        <v>35</v>
      </c>
      <c r="F317" t="s">
        <v>13</v>
      </c>
      <c r="G317" t="s">
        <v>20</v>
      </c>
      <c r="H317" s="2">
        <v>33564</v>
      </c>
      <c r="I317" t="s">
        <v>30</v>
      </c>
    </row>
    <row r="318" spans="1:9" x14ac:dyDescent="0.25">
      <c r="A318" t="s">
        <v>451</v>
      </c>
      <c r="B318" t="s">
        <v>73</v>
      </c>
      <c r="C318" t="s">
        <v>51</v>
      </c>
      <c r="D318" t="s">
        <v>221</v>
      </c>
      <c r="E318">
        <v>70</v>
      </c>
      <c r="F318" t="s">
        <v>19</v>
      </c>
      <c r="G318" t="s">
        <v>47</v>
      </c>
      <c r="H318" s="2">
        <v>20623</v>
      </c>
      <c r="I318" t="s">
        <v>15</v>
      </c>
    </row>
    <row r="319" spans="1:9" x14ac:dyDescent="0.25">
      <c r="A319" t="s">
        <v>452</v>
      </c>
      <c r="B319" t="s">
        <v>85</v>
      </c>
      <c r="C319" t="s">
        <v>24</v>
      </c>
      <c r="D319" t="s">
        <v>108</v>
      </c>
      <c r="E319">
        <v>62</v>
      </c>
      <c r="F319" t="s">
        <v>13</v>
      </c>
      <c r="G319" t="s">
        <v>36</v>
      </c>
      <c r="H319" s="2">
        <v>23433</v>
      </c>
      <c r="I319" t="s">
        <v>15</v>
      </c>
    </row>
    <row r="320" spans="1:9" x14ac:dyDescent="0.25">
      <c r="A320" t="s">
        <v>453</v>
      </c>
      <c r="B320" t="s">
        <v>41</v>
      </c>
      <c r="C320" t="s">
        <v>45</v>
      </c>
      <c r="D320" t="s">
        <v>152</v>
      </c>
      <c r="E320">
        <v>67</v>
      </c>
      <c r="F320" t="s">
        <v>13</v>
      </c>
      <c r="G320" t="s">
        <v>60</v>
      </c>
      <c r="H320" s="2">
        <v>21586</v>
      </c>
      <c r="I320" t="s">
        <v>15</v>
      </c>
    </row>
    <row r="321" spans="1:9" x14ac:dyDescent="0.25">
      <c r="A321" t="s">
        <v>454</v>
      </c>
      <c r="B321" t="s">
        <v>44</v>
      </c>
      <c r="C321" t="s">
        <v>11</v>
      </c>
      <c r="D321" t="s">
        <v>246</v>
      </c>
      <c r="E321">
        <v>62</v>
      </c>
      <c r="F321" t="s">
        <v>19</v>
      </c>
      <c r="G321" t="s">
        <v>60</v>
      </c>
      <c r="H321" s="2">
        <v>23561</v>
      </c>
      <c r="I321" t="s">
        <v>15</v>
      </c>
    </row>
    <row r="322" spans="1:9" x14ac:dyDescent="0.25">
      <c r="A322" t="s">
        <v>455</v>
      </c>
      <c r="B322" t="s">
        <v>54</v>
      </c>
      <c r="C322" t="s">
        <v>34</v>
      </c>
      <c r="D322" t="s">
        <v>55</v>
      </c>
      <c r="E322">
        <v>25</v>
      </c>
      <c r="F322" t="s">
        <v>19</v>
      </c>
      <c r="G322" t="s">
        <v>36</v>
      </c>
      <c r="H322" s="2">
        <v>37125</v>
      </c>
      <c r="I322" t="s">
        <v>21</v>
      </c>
    </row>
    <row r="323" spans="1:9" x14ac:dyDescent="0.25">
      <c r="A323" t="s">
        <v>456</v>
      </c>
      <c r="B323" t="s">
        <v>44</v>
      </c>
      <c r="C323" t="s">
        <v>24</v>
      </c>
      <c r="D323" t="s">
        <v>97</v>
      </c>
      <c r="E323">
        <v>30</v>
      </c>
      <c r="F323" t="s">
        <v>13</v>
      </c>
      <c r="G323" t="s">
        <v>60</v>
      </c>
      <c r="H323" s="2">
        <v>35143</v>
      </c>
      <c r="I323" t="s">
        <v>30</v>
      </c>
    </row>
    <row r="324" spans="1:9" x14ac:dyDescent="0.25">
      <c r="A324" t="s">
        <v>457</v>
      </c>
      <c r="B324" t="s">
        <v>73</v>
      </c>
      <c r="C324" t="s">
        <v>51</v>
      </c>
      <c r="D324" t="s">
        <v>221</v>
      </c>
      <c r="E324">
        <v>29</v>
      </c>
      <c r="F324" t="s">
        <v>19</v>
      </c>
      <c r="G324" t="s">
        <v>47</v>
      </c>
      <c r="H324" s="2">
        <v>35568</v>
      </c>
      <c r="I324" t="s">
        <v>21</v>
      </c>
    </row>
    <row r="325" spans="1:9" x14ac:dyDescent="0.25">
      <c r="A325" t="s">
        <v>458</v>
      </c>
      <c r="B325" t="s">
        <v>85</v>
      </c>
      <c r="C325" t="s">
        <v>51</v>
      </c>
      <c r="D325" t="s">
        <v>163</v>
      </c>
      <c r="E325">
        <v>47</v>
      </c>
      <c r="F325" t="s">
        <v>19</v>
      </c>
      <c r="G325" t="s">
        <v>60</v>
      </c>
      <c r="H325" s="2">
        <v>29023</v>
      </c>
      <c r="I325" t="s">
        <v>30</v>
      </c>
    </row>
    <row r="326" spans="1:9" x14ac:dyDescent="0.25">
      <c r="A326" t="s">
        <v>459</v>
      </c>
      <c r="B326" t="s">
        <v>85</v>
      </c>
      <c r="C326" t="s">
        <v>76</v>
      </c>
      <c r="D326" t="s">
        <v>197</v>
      </c>
      <c r="E326">
        <v>56</v>
      </c>
      <c r="F326" t="s">
        <v>19</v>
      </c>
      <c r="G326" t="s">
        <v>20</v>
      </c>
      <c r="H326" s="2">
        <v>25907</v>
      </c>
      <c r="I326" t="s">
        <v>15</v>
      </c>
    </row>
    <row r="327" spans="1:9" x14ac:dyDescent="0.25">
      <c r="A327" t="s">
        <v>460</v>
      </c>
      <c r="B327" t="s">
        <v>85</v>
      </c>
      <c r="C327" t="s">
        <v>62</v>
      </c>
      <c r="D327" t="s">
        <v>184</v>
      </c>
      <c r="E327">
        <v>47</v>
      </c>
      <c r="F327" t="s">
        <v>13</v>
      </c>
      <c r="G327" t="s">
        <v>20</v>
      </c>
      <c r="H327" s="2">
        <v>29026</v>
      </c>
      <c r="I327" t="s">
        <v>30</v>
      </c>
    </row>
    <row r="328" spans="1:9" x14ac:dyDescent="0.25">
      <c r="A328" t="s">
        <v>461</v>
      </c>
      <c r="B328" t="s">
        <v>23</v>
      </c>
      <c r="C328" t="s">
        <v>76</v>
      </c>
      <c r="D328" t="s">
        <v>421</v>
      </c>
      <c r="E328">
        <v>23</v>
      </c>
      <c r="F328" t="s">
        <v>13</v>
      </c>
      <c r="G328" t="s">
        <v>60</v>
      </c>
      <c r="H328" s="2">
        <v>37934</v>
      </c>
      <c r="I328" t="s">
        <v>21</v>
      </c>
    </row>
    <row r="329" spans="1:9" x14ac:dyDescent="0.25">
      <c r="A329" t="s">
        <v>462</v>
      </c>
      <c r="B329" t="s">
        <v>17</v>
      </c>
      <c r="C329" t="s">
        <v>28</v>
      </c>
      <c r="D329" t="s">
        <v>167</v>
      </c>
      <c r="E329">
        <v>37</v>
      </c>
      <c r="F329" t="s">
        <v>13</v>
      </c>
      <c r="G329" t="s">
        <v>20</v>
      </c>
      <c r="H329" s="2">
        <v>32578</v>
      </c>
      <c r="I329" t="s">
        <v>30</v>
      </c>
    </row>
    <row r="330" spans="1:9" x14ac:dyDescent="0.25">
      <c r="A330" t="s">
        <v>463</v>
      </c>
      <c r="B330" t="s">
        <v>41</v>
      </c>
      <c r="C330" t="s">
        <v>51</v>
      </c>
      <c r="D330" t="s">
        <v>57</v>
      </c>
      <c r="E330">
        <v>44</v>
      </c>
      <c r="F330" t="s">
        <v>13</v>
      </c>
      <c r="G330" t="s">
        <v>14</v>
      </c>
      <c r="H330" s="2">
        <v>30064</v>
      </c>
      <c r="I330" t="s">
        <v>30</v>
      </c>
    </row>
    <row r="331" spans="1:9" x14ac:dyDescent="0.25">
      <c r="A331" t="s">
        <v>464</v>
      </c>
      <c r="B331" t="s">
        <v>10</v>
      </c>
      <c r="C331" t="s">
        <v>62</v>
      </c>
      <c r="D331" t="s">
        <v>313</v>
      </c>
      <c r="E331">
        <v>48</v>
      </c>
      <c r="F331" t="s">
        <v>13</v>
      </c>
      <c r="G331" t="s">
        <v>36</v>
      </c>
      <c r="H331" s="2">
        <v>28833</v>
      </c>
      <c r="I331" t="s">
        <v>30</v>
      </c>
    </row>
    <row r="332" spans="1:9" x14ac:dyDescent="0.25">
      <c r="A332" t="s">
        <v>465</v>
      </c>
      <c r="B332" t="s">
        <v>54</v>
      </c>
      <c r="C332" t="s">
        <v>70</v>
      </c>
      <c r="D332" t="s">
        <v>71</v>
      </c>
      <c r="E332">
        <v>39</v>
      </c>
      <c r="F332" t="s">
        <v>13</v>
      </c>
      <c r="G332" t="s">
        <v>60</v>
      </c>
      <c r="H332" s="2">
        <v>31787</v>
      </c>
      <c r="I332" t="s">
        <v>30</v>
      </c>
    </row>
    <row r="333" spans="1:9" x14ac:dyDescent="0.25">
      <c r="A333" t="s">
        <v>466</v>
      </c>
      <c r="B333" t="s">
        <v>54</v>
      </c>
      <c r="C333" t="s">
        <v>11</v>
      </c>
      <c r="D333" t="s">
        <v>178</v>
      </c>
      <c r="E333">
        <v>27</v>
      </c>
      <c r="F333" t="s">
        <v>13</v>
      </c>
      <c r="G333" t="s">
        <v>14</v>
      </c>
      <c r="H333" s="2">
        <v>36227</v>
      </c>
      <c r="I333" t="s">
        <v>21</v>
      </c>
    </row>
    <row r="334" spans="1:9" x14ac:dyDescent="0.25">
      <c r="A334" t="s">
        <v>467</v>
      </c>
      <c r="B334" t="s">
        <v>17</v>
      </c>
      <c r="C334" t="s">
        <v>51</v>
      </c>
      <c r="D334" t="s">
        <v>236</v>
      </c>
      <c r="E334">
        <v>27</v>
      </c>
      <c r="F334" t="s">
        <v>19</v>
      </c>
      <c r="G334" t="s">
        <v>47</v>
      </c>
      <c r="H334" s="2">
        <v>36168</v>
      </c>
      <c r="I334" t="s">
        <v>21</v>
      </c>
    </row>
    <row r="335" spans="1:9" x14ac:dyDescent="0.25">
      <c r="A335" t="s">
        <v>468</v>
      </c>
      <c r="B335" t="s">
        <v>17</v>
      </c>
      <c r="C335" t="s">
        <v>45</v>
      </c>
      <c r="D335" t="s">
        <v>192</v>
      </c>
      <c r="E335">
        <v>42</v>
      </c>
      <c r="F335" t="s">
        <v>19</v>
      </c>
      <c r="G335" t="s">
        <v>14</v>
      </c>
      <c r="H335" s="2">
        <v>30885</v>
      </c>
      <c r="I335" t="s">
        <v>30</v>
      </c>
    </row>
    <row r="336" spans="1:9" x14ac:dyDescent="0.25">
      <c r="A336" t="s">
        <v>469</v>
      </c>
      <c r="B336" t="s">
        <v>41</v>
      </c>
      <c r="C336" t="s">
        <v>28</v>
      </c>
      <c r="D336" t="s">
        <v>224</v>
      </c>
      <c r="E336">
        <v>46</v>
      </c>
      <c r="F336" t="s">
        <v>19</v>
      </c>
      <c r="G336" t="s">
        <v>60</v>
      </c>
      <c r="H336" s="2">
        <v>29505</v>
      </c>
      <c r="I336" t="s">
        <v>30</v>
      </c>
    </row>
    <row r="337" spans="1:9" x14ac:dyDescent="0.25">
      <c r="A337" t="s">
        <v>470</v>
      </c>
      <c r="B337" t="s">
        <v>73</v>
      </c>
      <c r="C337" t="s">
        <v>70</v>
      </c>
      <c r="D337" t="s">
        <v>142</v>
      </c>
      <c r="E337">
        <v>43</v>
      </c>
      <c r="F337" t="s">
        <v>19</v>
      </c>
      <c r="G337" t="s">
        <v>36</v>
      </c>
      <c r="H337" s="2">
        <v>30470</v>
      </c>
      <c r="I337" t="s">
        <v>30</v>
      </c>
    </row>
    <row r="338" spans="1:9" x14ac:dyDescent="0.25">
      <c r="A338" t="s">
        <v>471</v>
      </c>
      <c r="B338" t="s">
        <v>38</v>
      </c>
      <c r="C338" t="s">
        <v>76</v>
      </c>
      <c r="D338" t="s">
        <v>118</v>
      </c>
      <c r="E338">
        <v>42</v>
      </c>
      <c r="F338" t="s">
        <v>13</v>
      </c>
      <c r="G338" t="s">
        <v>36</v>
      </c>
      <c r="H338" s="2">
        <v>31018</v>
      </c>
      <c r="I338" t="s">
        <v>30</v>
      </c>
    </row>
    <row r="339" spans="1:9" x14ac:dyDescent="0.25">
      <c r="A339" t="s">
        <v>472</v>
      </c>
      <c r="B339" t="s">
        <v>54</v>
      </c>
      <c r="C339" t="s">
        <v>11</v>
      </c>
      <c r="D339" t="s">
        <v>178</v>
      </c>
      <c r="E339">
        <v>27</v>
      </c>
      <c r="F339" t="s">
        <v>19</v>
      </c>
      <c r="G339" t="s">
        <v>60</v>
      </c>
      <c r="H339" s="2">
        <v>36512</v>
      </c>
      <c r="I339" t="s">
        <v>21</v>
      </c>
    </row>
    <row r="340" spans="1:9" x14ac:dyDescent="0.25">
      <c r="A340" t="s">
        <v>473</v>
      </c>
      <c r="B340" t="s">
        <v>44</v>
      </c>
      <c r="C340" t="s">
        <v>45</v>
      </c>
      <c r="D340" t="s">
        <v>46</v>
      </c>
      <c r="E340">
        <v>52</v>
      </c>
      <c r="F340" t="s">
        <v>13</v>
      </c>
      <c r="G340" t="s">
        <v>47</v>
      </c>
      <c r="H340" s="2">
        <v>27193</v>
      </c>
      <c r="I340" t="s">
        <v>15</v>
      </c>
    </row>
    <row r="341" spans="1:9" x14ac:dyDescent="0.25">
      <c r="A341" t="s">
        <v>474</v>
      </c>
      <c r="B341" t="s">
        <v>17</v>
      </c>
      <c r="C341" t="s">
        <v>76</v>
      </c>
      <c r="D341" t="s">
        <v>265</v>
      </c>
      <c r="E341">
        <v>47</v>
      </c>
      <c r="F341" t="s">
        <v>13</v>
      </c>
      <c r="G341" t="s">
        <v>20</v>
      </c>
      <c r="H341" s="2">
        <v>29083</v>
      </c>
      <c r="I341" t="s">
        <v>30</v>
      </c>
    </row>
    <row r="342" spans="1:9" x14ac:dyDescent="0.25">
      <c r="A342" t="s">
        <v>475</v>
      </c>
      <c r="B342" t="s">
        <v>54</v>
      </c>
      <c r="C342" t="s">
        <v>34</v>
      </c>
      <c r="D342" t="s">
        <v>55</v>
      </c>
      <c r="E342">
        <v>69</v>
      </c>
      <c r="F342" t="s">
        <v>13</v>
      </c>
      <c r="G342" t="s">
        <v>47</v>
      </c>
      <c r="H342" s="2">
        <v>20861</v>
      </c>
      <c r="I342" t="s">
        <v>15</v>
      </c>
    </row>
    <row r="343" spans="1:9" x14ac:dyDescent="0.25">
      <c r="A343" t="s">
        <v>476</v>
      </c>
      <c r="B343" t="s">
        <v>27</v>
      </c>
      <c r="C343" t="s">
        <v>34</v>
      </c>
      <c r="D343" t="s">
        <v>35</v>
      </c>
      <c r="E343">
        <v>37</v>
      </c>
      <c r="F343" t="s">
        <v>19</v>
      </c>
      <c r="G343" t="s">
        <v>36</v>
      </c>
      <c r="H343" s="2">
        <v>32643</v>
      </c>
      <c r="I343" t="s">
        <v>30</v>
      </c>
    </row>
    <row r="344" spans="1:9" x14ac:dyDescent="0.25">
      <c r="A344" t="s">
        <v>477</v>
      </c>
      <c r="B344" t="s">
        <v>10</v>
      </c>
      <c r="C344" t="s">
        <v>67</v>
      </c>
      <c r="D344" t="s">
        <v>68</v>
      </c>
      <c r="E344">
        <v>40</v>
      </c>
      <c r="F344" t="s">
        <v>13</v>
      </c>
      <c r="G344" t="s">
        <v>36</v>
      </c>
      <c r="H344" s="2">
        <v>31691</v>
      </c>
      <c r="I344" t="s">
        <v>30</v>
      </c>
    </row>
    <row r="345" spans="1:9" x14ac:dyDescent="0.25">
      <c r="A345" t="s">
        <v>478</v>
      </c>
      <c r="B345" t="s">
        <v>17</v>
      </c>
      <c r="C345" t="s">
        <v>76</v>
      </c>
      <c r="D345" t="s">
        <v>265</v>
      </c>
      <c r="E345">
        <v>70</v>
      </c>
      <c r="F345" t="s">
        <v>19</v>
      </c>
      <c r="G345" t="s">
        <v>14</v>
      </c>
      <c r="H345" s="2">
        <v>20702</v>
      </c>
      <c r="I345" t="s">
        <v>15</v>
      </c>
    </row>
    <row r="346" spans="1:9" x14ac:dyDescent="0.25">
      <c r="A346" t="s">
        <v>479</v>
      </c>
      <c r="B346" t="s">
        <v>85</v>
      </c>
      <c r="C346" t="s">
        <v>67</v>
      </c>
      <c r="D346" t="s">
        <v>857</v>
      </c>
      <c r="E346">
        <v>64</v>
      </c>
      <c r="F346" t="s">
        <v>19</v>
      </c>
      <c r="G346" t="s">
        <v>20</v>
      </c>
      <c r="H346" s="2">
        <v>22775</v>
      </c>
      <c r="I346" t="s">
        <v>15</v>
      </c>
    </row>
    <row r="347" spans="1:9" x14ac:dyDescent="0.25">
      <c r="A347" t="s">
        <v>480</v>
      </c>
      <c r="B347" t="s">
        <v>54</v>
      </c>
      <c r="C347" t="s">
        <v>62</v>
      </c>
      <c r="D347" t="s">
        <v>329</v>
      </c>
      <c r="E347">
        <v>48</v>
      </c>
      <c r="F347" t="s">
        <v>19</v>
      </c>
      <c r="G347" t="s">
        <v>14</v>
      </c>
      <c r="H347" s="2">
        <v>28612</v>
      </c>
      <c r="I347" t="s">
        <v>30</v>
      </c>
    </row>
    <row r="348" spans="1:9" x14ac:dyDescent="0.25">
      <c r="A348" t="s">
        <v>481</v>
      </c>
      <c r="B348" t="s">
        <v>54</v>
      </c>
      <c r="C348" t="s">
        <v>62</v>
      </c>
      <c r="D348" t="s">
        <v>329</v>
      </c>
      <c r="E348">
        <v>26</v>
      </c>
      <c r="F348" t="s">
        <v>19</v>
      </c>
      <c r="G348" t="s">
        <v>60</v>
      </c>
      <c r="H348" s="2">
        <v>36536</v>
      </c>
      <c r="I348" t="s">
        <v>21</v>
      </c>
    </row>
    <row r="349" spans="1:9" x14ac:dyDescent="0.25">
      <c r="A349" t="s">
        <v>482</v>
      </c>
      <c r="B349" t="s">
        <v>17</v>
      </c>
      <c r="C349" t="s">
        <v>45</v>
      </c>
      <c r="D349" t="s">
        <v>192</v>
      </c>
      <c r="E349">
        <v>63</v>
      </c>
      <c r="F349" t="s">
        <v>13</v>
      </c>
      <c r="G349" t="s">
        <v>47</v>
      </c>
      <c r="H349" s="2">
        <v>23263</v>
      </c>
      <c r="I349" t="s">
        <v>15</v>
      </c>
    </row>
    <row r="350" spans="1:9" x14ac:dyDescent="0.25">
      <c r="A350" t="s">
        <v>483</v>
      </c>
      <c r="B350" t="s">
        <v>85</v>
      </c>
      <c r="C350" t="s">
        <v>45</v>
      </c>
      <c r="D350" t="s">
        <v>99</v>
      </c>
      <c r="E350">
        <v>32</v>
      </c>
      <c r="F350" t="s">
        <v>13</v>
      </c>
      <c r="G350" t="s">
        <v>14</v>
      </c>
      <c r="H350" s="2">
        <v>34459</v>
      </c>
      <c r="I350" t="s">
        <v>30</v>
      </c>
    </row>
    <row r="351" spans="1:9" x14ac:dyDescent="0.25">
      <c r="A351" t="s">
        <v>859</v>
      </c>
      <c r="B351" t="s">
        <v>54</v>
      </c>
      <c r="C351" t="s">
        <v>51</v>
      </c>
      <c r="D351" t="s">
        <v>104</v>
      </c>
      <c r="E351">
        <v>36</v>
      </c>
      <c r="F351" t="s">
        <v>13</v>
      </c>
      <c r="G351" t="s">
        <v>36</v>
      </c>
      <c r="H351" s="2">
        <v>33122</v>
      </c>
      <c r="I35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C0CD-E1BF-4645-B52E-F7D4960AB6A1}">
  <dimension ref="A1:G351"/>
  <sheetViews>
    <sheetView tabSelected="1" workbookViewId="0">
      <selection activeCell="D11" sqref="D11"/>
    </sheetView>
  </sheetViews>
  <sheetFormatPr defaultRowHeight="15" x14ac:dyDescent="0.25"/>
  <cols>
    <col min="1" max="1" width="15.42578125" bestFit="1" customWidth="1"/>
    <col min="2" max="2" width="10.140625" bestFit="1" customWidth="1"/>
    <col min="3" max="3" width="16.140625" bestFit="1" customWidth="1"/>
    <col min="4" max="4" width="34.42578125" bestFit="1" customWidth="1"/>
    <col min="5" max="5" width="17.85546875" style="2" bestFit="1" customWidth="1"/>
    <col min="6" max="6" width="10.85546875" bestFit="1" customWidth="1"/>
    <col min="7" max="7" width="4" bestFit="1" customWidth="1"/>
  </cols>
  <sheetData>
    <row r="1" spans="1:7" x14ac:dyDescent="0.25">
      <c r="A1" t="s">
        <v>484</v>
      </c>
      <c r="B1" t="s">
        <v>8</v>
      </c>
      <c r="C1" t="s">
        <v>485</v>
      </c>
      <c r="D1" t="s">
        <v>486</v>
      </c>
      <c r="E1" s="2" t="s">
        <v>487</v>
      </c>
      <c r="F1" t="s">
        <v>488</v>
      </c>
      <c r="G1" t="s">
        <v>489</v>
      </c>
    </row>
    <row r="2" spans="1:7" x14ac:dyDescent="0.25">
      <c r="A2" t="s">
        <v>490</v>
      </c>
      <c r="B2" t="s">
        <v>205</v>
      </c>
      <c r="C2" t="s">
        <v>497</v>
      </c>
      <c r="D2" t="s">
        <v>501</v>
      </c>
      <c r="E2" s="2">
        <v>46083</v>
      </c>
      <c r="F2" t="s">
        <v>502</v>
      </c>
      <c r="G2">
        <v>119</v>
      </c>
    </row>
    <row r="3" spans="1:7" x14ac:dyDescent="0.25">
      <c r="A3" t="s">
        <v>494</v>
      </c>
      <c r="B3" t="s">
        <v>146</v>
      </c>
      <c r="C3" t="s">
        <v>495</v>
      </c>
      <c r="D3" t="s">
        <v>498</v>
      </c>
      <c r="E3" s="2">
        <v>46094</v>
      </c>
      <c r="F3" t="s">
        <v>506</v>
      </c>
      <c r="G3">
        <v>285</v>
      </c>
    </row>
    <row r="4" spans="1:7" x14ac:dyDescent="0.25">
      <c r="A4" t="s">
        <v>496</v>
      </c>
      <c r="B4" t="s">
        <v>132</v>
      </c>
      <c r="C4" t="s">
        <v>497</v>
      </c>
      <c r="D4" t="s">
        <v>512</v>
      </c>
      <c r="E4" s="2">
        <v>46091</v>
      </c>
      <c r="F4" t="s">
        <v>502</v>
      </c>
      <c r="G4">
        <v>274</v>
      </c>
    </row>
    <row r="5" spans="1:7" x14ac:dyDescent="0.25">
      <c r="A5" t="s">
        <v>499</v>
      </c>
      <c r="B5" t="s">
        <v>111</v>
      </c>
      <c r="C5" t="s">
        <v>497</v>
      </c>
      <c r="D5" t="s">
        <v>492</v>
      </c>
      <c r="E5" s="2">
        <v>46102</v>
      </c>
      <c r="F5" t="s">
        <v>502</v>
      </c>
      <c r="G5">
        <v>168</v>
      </c>
    </row>
    <row r="6" spans="1:7" x14ac:dyDescent="0.25">
      <c r="A6" t="s">
        <v>503</v>
      </c>
      <c r="B6" t="s">
        <v>149</v>
      </c>
      <c r="C6" t="s">
        <v>495</v>
      </c>
      <c r="D6" t="s">
        <v>523</v>
      </c>
      <c r="E6" s="2">
        <v>46097</v>
      </c>
      <c r="F6" t="s">
        <v>506</v>
      </c>
      <c r="G6">
        <v>75</v>
      </c>
    </row>
    <row r="7" spans="1:7" x14ac:dyDescent="0.25">
      <c r="A7" t="s">
        <v>505</v>
      </c>
      <c r="B7" t="s">
        <v>100</v>
      </c>
      <c r="C7" t="s">
        <v>495</v>
      </c>
      <c r="D7" t="s">
        <v>512</v>
      </c>
      <c r="E7" s="2">
        <v>46101</v>
      </c>
      <c r="F7" t="s">
        <v>506</v>
      </c>
      <c r="G7">
        <v>283</v>
      </c>
    </row>
    <row r="8" spans="1:7" x14ac:dyDescent="0.25">
      <c r="A8" t="s">
        <v>507</v>
      </c>
      <c r="B8" t="s">
        <v>168</v>
      </c>
      <c r="C8" t="s">
        <v>491</v>
      </c>
      <c r="D8" t="s">
        <v>508</v>
      </c>
      <c r="E8" s="2">
        <v>46089</v>
      </c>
      <c r="F8" t="s">
        <v>506</v>
      </c>
      <c r="G8">
        <v>100</v>
      </c>
    </row>
    <row r="9" spans="1:7" x14ac:dyDescent="0.25">
      <c r="A9" t="s">
        <v>509</v>
      </c>
      <c r="B9" t="s">
        <v>72</v>
      </c>
      <c r="C9" t="s">
        <v>500</v>
      </c>
      <c r="D9" t="s">
        <v>501</v>
      </c>
      <c r="E9" s="2">
        <v>46091</v>
      </c>
      <c r="F9" t="s">
        <v>502</v>
      </c>
      <c r="G9">
        <v>132</v>
      </c>
    </row>
    <row r="10" spans="1:7" x14ac:dyDescent="0.25">
      <c r="A10" t="s">
        <v>510</v>
      </c>
      <c r="B10" t="s">
        <v>87</v>
      </c>
      <c r="C10" t="s">
        <v>497</v>
      </c>
      <c r="D10" t="s">
        <v>518</v>
      </c>
      <c r="E10" s="2">
        <v>46108</v>
      </c>
      <c r="F10" t="s">
        <v>502</v>
      </c>
      <c r="G10">
        <v>135</v>
      </c>
    </row>
    <row r="11" spans="1:7" x14ac:dyDescent="0.25">
      <c r="A11" t="s">
        <v>511</v>
      </c>
      <c r="B11" t="s">
        <v>207</v>
      </c>
      <c r="C11" t="s">
        <v>504</v>
      </c>
      <c r="D11" t="s">
        <v>521</v>
      </c>
      <c r="E11" s="2">
        <v>46108</v>
      </c>
      <c r="F11" t="s">
        <v>502</v>
      </c>
      <c r="G11">
        <v>262</v>
      </c>
    </row>
    <row r="12" spans="1:7" x14ac:dyDescent="0.25">
      <c r="A12" t="s">
        <v>513</v>
      </c>
      <c r="B12" t="s">
        <v>180</v>
      </c>
      <c r="C12" t="s">
        <v>495</v>
      </c>
      <c r="D12" t="s">
        <v>521</v>
      </c>
      <c r="E12" s="2">
        <v>46083</v>
      </c>
      <c r="F12" t="s">
        <v>493</v>
      </c>
      <c r="G12">
        <v>190</v>
      </c>
    </row>
    <row r="13" spans="1:7" x14ac:dyDescent="0.25">
      <c r="A13" t="s">
        <v>514</v>
      </c>
      <c r="B13" t="s">
        <v>69</v>
      </c>
      <c r="C13" t="s">
        <v>497</v>
      </c>
      <c r="D13" t="s">
        <v>501</v>
      </c>
      <c r="E13" s="2">
        <v>46086</v>
      </c>
      <c r="F13" t="s">
        <v>493</v>
      </c>
      <c r="G13">
        <v>62</v>
      </c>
    </row>
    <row r="14" spans="1:7" x14ac:dyDescent="0.25">
      <c r="A14" t="s">
        <v>516</v>
      </c>
      <c r="B14" t="s">
        <v>196</v>
      </c>
      <c r="C14" t="s">
        <v>497</v>
      </c>
      <c r="D14" t="s">
        <v>521</v>
      </c>
      <c r="E14" s="2">
        <v>46108</v>
      </c>
      <c r="F14" t="s">
        <v>502</v>
      </c>
      <c r="G14">
        <v>186</v>
      </c>
    </row>
    <row r="15" spans="1:7" x14ac:dyDescent="0.25">
      <c r="A15" t="s">
        <v>517</v>
      </c>
      <c r="B15" t="s">
        <v>144</v>
      </c>
      <c r="C15" t="s">
        <v>504</v>
      </c>
      <c r="D15" t="s">
        <v>523</v>
      </c>
      <c r="E15" s="2">
        <v>46111</v>
      </c>
      <c r="F15" t="s">
        <v>502</v>
      </c>
      <c r="G15">
        <v>264</v>
      </c>
    </row>
    <row r="16" spans="1:7" x14ac:dyDescent="0.25">
      <c r="A16" t="s">
        <v>519</v>
      </c>
      <c r="B16" t="s">
        <v>88</v>
      </c>
      <c r="C16" t="s">
        <v>497</v>
      </c>
      <c r="D16" t="s">
        <v>512</v>
      </c>
      <c r="E16" s="2">
        <v>46110</v>
      </c>
      <c r="F16" t="s">
        <v>493</v>
      </c>
      <c r="G16">
        <v>159</v>
      </c>
    </row>
    <row r="17" spans="1:7" x14ac:dyDescent="0.25">
      <c r="A17" t="s">
        <v>520</v>
      </c>
      <c r="B17" t="s">
        <v>91</v>
      </c>
      <c r="C17" t="s">
        <v>497</v>
      </c>
      <c r="D17" t="s">
        <v>521</v>
      </c>
      <c r="E17" s="2">
        <v>46109</v>
      </c>
      <c r="F17" t="s">
        <v>502</v>
      </c>
      <c r="G17">
        <v>112</v>
      </c>
    </row>
    <row r="18" spans="1:7" x14ac:dyDescent="0.25">
      <c r="A18" t="s">
        <v>522</v>
      </c>
      <c r="B18" t="s">
        <v>127</v>
      </c>
      <c r="C18" t="s">
        <v>500</v>
      </c>
      <c r="D18" t="s">
        <v>515</v>
      </c>
      <c r="E18" s="2">
        <v>46082</v>
      </c>
      <c r="F18" t="s">
        <v>502</v>
      </c>
      <c r="G18">
        <v>193</v>
      </c>
    </row>
    <row r="19" spans="1:7" x14ac:dyDescent="0.25">
      <c r="A19" t="s">
        <v>524</v>
      </c>
      <c r="B19" t="s">
        <v>160</v>
      </c>
      <c r="C19" t="s">
        <v>491</v>
      </c>
      <c r="D19" t="s">
        <v>501</v>
      </c>
      <c r="E19" s="2">
        <v>46110</v>
      </c>
      <c r="F19" t="s">
        <v>506</v>
      </c>
      <c r="G19">
        <v>89</v>
      </c>
    </row>
    <row r="20" spans="1:7" x14ac:dyDescent="0.25">
      <c r="A20" t="s">
        <v>525</v>
      </c>
      <c r="B20" t="s">
        <v>93</v>
      </c>
      <c r="C20" t="s">
        <v>500</v>
      </c>
      <c r="D20" t="s">
        <v>585</v>
      </c>
      <c r="E20" s="2">
        <v>46092</v>
      </c>
      <c r="F20" t="s">
        <v>502</v>
      </c>
      <c r="G20">
        <v>209</v>
      </c>
    </row>
    <row r="21" spans="1:7" x14ac:dyDescent="0.25">
      <c r="A21" t="s">
        <v>526</v>
      </c>
      <c r="B21" t="s">
        <v>75</v>
      </c>
      <c r="C21" t="s">
        <v>504</v>
      </c>
      <c r="D21" t="s">
        <v>498</v>
      </c>
      <c r="E21" s="2">
        <v>46092</v>
      </c>
      <c r="F21" t="s">
        <v>493</v>
      </c>
      <c r="G21">
        <v>203</v>
      </c>
    </row>
    <row r="22" spans="1:7" x14ac:dyDescent="0.25">
      <c r="A22" t="s">
        <v>527</v>
      </c>
      <c r="B22" t="s">
        <v>168</v>
      </c>
      <c r="C22" t="s">
        <v>500</v>
      </c>
      <c r="D22" t="s">
        <v>512</v>
      </c>
      <c r="E22" s="2">
        <v>46108</v>
      </c>
      <c r="F22" t="s">
        <v>502</v>
      </c>
      <c r="G22">
        <v>140</v>
      </c>
    </row>
    <row r="23" spans="1:7" x14ac:dyDescent="0.25">
      <c r="A23" t="s">
        <v>528</v>
      </c>
      <c r="B23" t="s">
        <v>207</v>
      </c>
      <c r="C23" t="s">
        <v>495</v>
      </c>
      <c r="D23" t="s">
        <v>512</v>
      </c>
      <c r="E23" s="2">
        <v>46099</v>
      </c>
      <c r="F23" t="s">
        <v>493</v>
      </c>
      <c r="G23">
        <v>240</v>
      </c>
    </row>
    <row r="24" spans="1:7" x14ac:dyDescent="0.25">
      <c r="A24" t="s">
        <v>529</v>
      </c>
      <c r="B24" t="s">
        <v>61</v>
      </c>
      <c r="C24" t="s">
        <v>491</v>
      </c>
      <c r="D24" t="s">
        <v>501</v>
      </c>
      <c r="E24" s="2">
        <v>46103</v>
      </c>
      <c r="F24" t="s">
        <v>493</v>
      </c>
      <c r="G24">
        <v>109</v>
      </c>
    </row>
    <row r="25" spans="1:7" x14ac:dyDescent="0.25">
      <c r="A25" t="s">
        <v>530</v>
      </c>
      <c r="B25" t="s">
        <v>144</v>
      </c>
      <c r="C25" t="s">
        <v>491</v>
      </c>
      <c r="D25" t="s">
        <v>492</v>
      </c>
      <c r="E25" s="2">
        <v>46106</v>
      </c>
      <c r="F25" t="s">
        <v>493</v>
      </c>
      <c r="G25">
        <v>201</v>
      </c>
    </row>
    <row r="26" spans="1:7" x14ac:dyDescent="0.25">
      <c r="A26" t="s">
        <v>531</v>
      </c>
      <c r="B26" t="s">
        <v>205</v>
      </c>
      <c r="C26" t="s">
        <v>495</v>
      </c>
      <c r="D26" t="s">
        <v>508</v>
      </c>
      <c r="E26" s="2">
        <v>46087</v>
      </c>
      <c r="F26" t="s">
        <v>502</v>
      </c>
      <c r="G26">
        <v>50</v>
      </c>
    </row>
    <row r="27" spans="1:7" x14ac:dyDescent="0.25">
      <c r="A27" t="s">
        <v>532</v>
      </c>
      <c r="B27" t="s">
        <v>40</v>
      </c>
      <c r="C27" t="s">
        <v>495</v>
      </c>
      <c r="D27" t="s">
        <v>512</v>
      </c>
      <c r="E27" s="2">
        <v>46105</v>
      </c>
      <c r="F27" t="s">
        <v>493</v>
      </c>
      <c r="G27">
        <v>173</v>
      </c>
    </row>
    <row r="28" spans="1:7" x14ac:dyDescent="0.25">
      <c r="A28" t="s">
        <v>533</v>
      </c>
      <c r="B28" t="s">
        <v>203</v>
      </c>
      <c r="C28" t="s">
        <v>504</v>
      </c>
      <c r="D28" t="s">
        <v>508</v>
      </c>
      <c r="E28" s="2">
        <v>46093</v>
      </c>
      <c r="F28" t="s">
        <v>506</v>
      </c>
      <c r="G28">
        <v>199</v>
      </c>
    </row>
    <row r="29" spans="1:7" x14ac:dyDescent="0.25">
      <c r="A29" t="s">
        <v>534</v>
      </c>
      <c r="B29" t="s">
        <v>153</v>
      </c>
      <c r="C29" t="s">
        <v>504</v>
      </c>
      <c r="D29" t="s">
        <v>498</v>
      </c>
      <c r="E29" s="2">
        <v>46090</v>
      </c>
      <c r="F29" t="s">
        <v>506</v>
      </c>
      <c r="G29">
        <v>238</v>
      </c>
    </row>
    <row r="30" spans="1:7" x14ac:dyDescent="0.25">
      <c r="A30" t="s">
        <v>535</v>
      </c>
      <c r="B30" t="s">
        <v>193</v>
      </c>
      <c r="C30" t="s">
        <v>497</v>
      </c>
      <c r="D30" t="s">
        <v>515</v>
      </c>
      <c r="E30" s="2">
        <v>46089</v>
      </c>
      <c r="F30" t="s">
        <v>493</v>
      </c>
      <c r="G30">
        <v>266</v>
      </c>
    </row>
    <row r="31" spans="1:7" x14ac:dyDescent="0.25">
      <c r="A31" t="s">
        <v>536</v>
      </c>
      <c r="B31" t="s">
        <v>196</v>
      </c>
      <c r="C31" t="s">
        <v>500</v>
      </c>
      <c r="D31" t="s">
        <v>521</v>
      </c>
      <c r="E31" s="2">
        <v>46099</v>
      </c>
      <c r="F31" t="s">
        <v>502</v>
      </c>
      <c r="G31">
        <v>268</v>
      </c>
    </row>
    <row r="32" spans="1:7" x14ac:dyDescent="0.25">
      <c r="A32" t="s">
        <v>537</v>
      </c>
      <c r="B32" t="s">
        <v>195</v>
      </c>
      <c r="C32" t="s">
        <v>491</v>
      </c>
      <c r="D32" t="s">
        <v>585</v>
      </c>
      <c r="E32" s="2">
        <v>46084</v>
      </c>
      <c r="F32" t="s">
        <v>502</v>
      </c>
      <c r="G32">
        <v>215</v>
      </c>
    </row>
    <row r="33" spans="1:7" x14ac:dyDescent="0.25">
      <c r="A33" t="s">
        <v>538</v>
      </c>
      <c r="B33" t="s">
        <v>160</v>
      </c>
      <c r="C33" t="s">
        <v>504</v>
      </c>
      <c r="D33" t="s">
        <v>523</v>
      </c>
      <c r="E33" s="2">
        <v>46092</v>
      </c>
      <c r="F33" t="s">
        <v>493</v>
      </c>
      <c r="G33">
        <v>85</v>
      </c>
    </row>
    <row r="34" spans="1:7" x14ac:dyDescent="0.25">
      <c r="A34" t="s">
        <v>539</v>
      </c>
      <c r="B34" t="s">
        <v>205</v>
      </c>
      <c r="C34" t="s">
        <v>495</v>
      </c>
      <c r="D34" t="s">
        <v>498</v>
      </c>
      <c r="E34" s="2">
        <v>46108</v>
      </c>
      <c r="F34" t="s">
        <v>493</v>
      </c>
      <c r="G34">
        <v>177</v>
      </c>
    </row>
    <row r="35" spans="1:7" x14ac:dyDescent="0.25">
      <c r="A35" t="s">
        <v>540</v>
      </c>
      <c r="B35" t="s">
        <v>191</v>
      </c>
      <c r="C35" t="s">
        <v>497</v>
      </c>
      <c r="D35" t="s">
        <v>523</v>
      </c>
      <c r="E35" s="2">
        <v>46088</v>
      </c>
      <c r="F35" t="s">
        <v>502</v>
      </c>
      <c r="G35">
        <v>115</v>
      </c>
    </row>
    <row r="36" spans="1:7" x14ac:dyDescent="0.25">
      <c r="A36" t="s">
        <v>541</v>
      </c>
      <c r="B36" t="s">
        <v>161</v>
      </c>
      <c r="C36" t="s">
        <v>504</v>
      </c>
      <c r="D36" t="s">
        <v>492</v>
      </c>
      <c r="E36" s="2">
        <v>46104</v>
      </c>
      <c r="F36" t="s">
        <v>506</v>
      </c>
      <c r="G36">
        <v>290</v>
      </c>
    </row>
    <row r="37" spans="1:7" x14ac:dyDescent="0.25">
      <c r="A37" t="s">
        <v>542</v>
      </c>
      <c r="B37" t="s">
        <v>105</v>
      </c>
      <c r="C37" t="s">
        <v>497</v>
      </c>
      <c r="D37" t="s">
        <v>492</v>
      </c>
      <c r="E37" s="2">
        <v>46107</v>
      </c>
      <c r="F37" t="s">
        <v>502</v>
      </c>
      <c r="G37">
        <v>158</v>
      </c>
    </row>
    <row r="38" spans="1:7" x14ac:dyDescent="0.25">
      <c r="A38" t="s">
        <v>543</v>
      </c>
      <c r="B38" t="s">
        <v>201</v>
      </c>
      <c r="C38" t="s">
        <v>491</v>
      </c>
      <c r="D38" t="s">
        <v>518</v>
      </c>
      <c r="E38" s="2">
        <v>46090</v>
      </c>
      <c r="F38" t="s">
        <v>493</v>
      </c>
      <c r="G38">
        <v>226</v>
      </c>
    </row>
    <row r="39" spans="1:7" x14ac:dyDescent="0.25">
      <c r="A39" t="s">
        <v>544</v>
      </c>
      <c r="B39" t="s">
        <v>141</v>
      </c>
      <c r="C39" t="s">
        <v>495</v>
      </c>
      <c r="D39" t="s">
        <v>501</v>
      </c>
      <c r="E39" s="2">
        <v>46091</v>
      </c>
      <c r="F39" t="s">
        <v>506</v>
      </c>
      <c r="G39">
        <v>176</v>
      </c>
    </row>
    <row r="40" spans="1:7" x14ac:dyDescent="0.25">
      <c r="A40" t="s">
        <v>545</v>
      </c>
      <c r="B40" t="s">
        <v>161</v>
      </c>
      <c r="C40" t="s">
        <v>491</v>
      </c>
      <c r="D40" t="s">
        <v>521</v>
      </c>
      <c r="E40" s="2">
        <v>46096</v>
      </c>
      <c r="F40" t="s">
        <v>493</v>
      </c>
      <c r="G40">
        <v>155</v>
      </c>
    </row>
    <row r="41" spans="1:7" x14ac:dyDescent="0.25">
      <c r="A41" t="s">
        <v>546</v>
      </c>
      <c r="B41" t="s">
        <v>161</v>
      </c>
      <c r="C41" t="s">
        <v>491</v>
      </c>
      <c r="D41" t="s">
        <v>498</v>
      </c>
      <c r="E41" s="2">
        <v>46095</v>
      </c>
      <c r="F41" t="s">
        <v>502</v>
      </c>
      <c r="G41">
        <v>80</v>
      </c>
    </row>
    <row r="42" spans="1:7" x14ac:dyDescent="0.25">
      <c r="A42" t="s">
        <v>547</v>
      </c>
      <c r="B42" t="s">
        <v>72</v>
      </c>
      <c r="C42" t="s">
        <v>491</v>
      </c>
      <c r="D42" t="s">
        <v>512</v>
      </c>
      <c r="E42" s="2">
        <v>46093</v>
      </c>
      <c r="F42" t="s">
        <v>506</v>
      </c>
      <c r="G42">
        <v>266</v>
      </c>
    </row>
    <row r="43" spans="1:7" x14ac:dyDescent="0.25">
      <c r="A43" t="s">
        <v>548</v>
      </c>
      <c r="B43" t="s">
        <v>109</v>
      </c>
      <c r="C43" t="s">
        <v>500</v>
      </c>
      <c r="D43" t="s">
        <v>515</v>
      </c>
      <c r="E43" s="2">
        <v>46082</v>
      </c>
      <c r="F43" t="s">
        <v>502</v>
      </c>
      <c r="G43">
        <v>294</v>
      </c>
    </row>
    <row r="44" spans="1:7" x14ac:dyDescent="0.25">
      <c r="A44" t="s">
        <v>549</v>
      </c>
      <c r="B44" t="s">
        <v>154</v>
      </c>
      <c r="C44" t="s">
        <v>495</v>
      </c>
      <c r="D44" t="s">
        <v>492</v>
      </c>
      <c r="E44" s="2">
        <v>46105</v>
      </c>
      <c r="F44" t="s">
        <v>506</v>
      </c>
      <c r="G44">
        <v>52</v>
      </c>
    </row>
    <row r="45" spans="1:7" x14ac:dyDescent="0.25">
      <c r="A45" t="s">
        <v>550</v>
      </c>
      <c r="B45" t="s">
        <v>80</v>
      </c>
      <c r="C45" t="s">
        <v>491</v>
      </c>
      <c r="D45" t="s">
        <v>508</v>
      </c>
      <c r="E45" s="2">
        <v>46086</v>
      </c>
      <c r="F45" t="s">
        <v>493</v>
      </c>
      <c r="G45">
        <v>204</v>
      </c>
    </row>
    <row r="46" spans="1:7" x14ac:dyDescent="0.25">
      <c r="A46" t="s">
        <v>551</v>
      </c>
      <c r="B46" t="s">
        <v>151</v>
      </c>
      <c r="C46" t="s">
        <v>491</v>
      </c>
      <c r="D46" t="s">
        <v>523</v>
      </c>
      <c r="E46" s="2">
        <v>46105</v>
      </c>
      <c r="F46" t="s">
        <v>506</v>
      </c>
      <c r="G46">
        <v>166</v>
      </c>
    </row>
    <row r="47" spans="1:7" x14ac:dyDescent="0.25">
      <c r="A47" t="s">
        <v>552</v>
      </c>
      <c r="B47" t="s">
        <v>89</v>
      </c>
      <c r="C47" t="s">
        <v>491</v>
      </c>
      <c r="D47" t="s">
        <v>515</v>
      </c>
      <c r="E47" s="2">
        <v>46096</v>
      </c>
      <c r="F47" t="s">
        <v>493</v>
      </c>
      <c r="G47">
        <v>236</v>
      </c>
    </row>
    <row r="48" spans="1:7" x14ac:dyDescent="0.25">
      <c r="A48" t="s">
        <v>553</v>
      </c>
      <c r="B48" t="s">
        <v>162</v>
      </c>
      <c r="C48" t="s">
        <v>495</v>
      </c>
      <c r="D48" t="s">
        <v>518</v>
      </c>
      <c r="E48" s="2">
        <v>46106</v>
      </c>
      <c r="F48" t="s">
        <v>502</v>
      </c>
      <c r="G48">
        <v>181</v>
      </c>
    </row>
    <row r="49" spans="1:7" x14ac:dyDescent="0.25">
      <c r="A49" t="s">
        <v>554</v>
      </c>
      <c r="B49" t="s">
        <v>69</v>
      </c>
      <c r="C49" t="s">
        <v>504</v>
      </c>
      <c r="D49" t="s">
        <v>501</v>
      </c>
      <c r="E49" s="2">
        <v>46091</v>
      </c>
      <c r="F49" t="s">
        <v>502</v>
      </c>
      <c r="G49">
        <v>180</v>
      </c>
    </row>
    <row r="50" spans="1:7" x14ac:dyDescent="0.25">
      <c r="A50" t="s">
        <v>555</v>
      </c>
      <c r="B50" t="s">
        <v>159</v>
      </c>
      <c r="C50" t="s">
        <v>500</v>
      </c>
      <c r="D50" t="s">
        <v>492</v>
      </c>
      <c r="E50" s="2">
        <v>46099</v>
      </c>
      <c r="F50" t="s">
        <v>502</v>
      </c>
      <c r="G50">
        <v>150</v>
      </c>
    </row>
    <row r="51" spans="1:7" x14ac:dyDescent="0.25">
      <c r="A51" t="s">
        <v>556</v>
      </c>
      <c r="B51" t="s">
        <v>154</v>
      </c>
      <c r="C51" t="s">
        <v>497</v>
      </c>
      <c r="D51" t="s">
        <v>521</v>
      </c>
      <c r="E51" s="2">
        <v>46085</v>
      </c>
      <c r="F51" t="s">
        <v>493</v>
      </c>
      <c r="G51">
        <v>256</v>
      </c>
    </row>
    <row r="52" spans="1:7" x14ac:dyDescent="0.25">
      <c r="A52" t="s">
        <v>557</v>
      </c>
      <c r="B52" t="s">
        <v>66</v>
      </c>
      <c r="C52" t="s">
        <v>495</v>
      </c>
      <c r="D52" t="s">
        <v>508</v>
      </c>
      <c r="E52" s="2">
        <v>46110</v>
      </c>
      <c r="F52" t="s">
        <v>493</v>
      </c>
      <c r="G52">
        <v>246</v>
      </c>
    </row>
    <row r="53" spans="1:7" x14ac:dyDescent="0.25">
      <c r="A53" t="s">
        <v>558</v>
      </c>
      <c r="B53" t="s">
        <v>166</v>
      </c>
      <c r="C53" t="s">
        <v>504</v>
      </c>
      <c r="D53" t="s">
        <v>521</v>
      </c>
      <c r="E53" s="2">
        <v>46104</v>
      </c>
      <c r="F53" t="s">
        <v>493</v>
      </c>
      <c r="G53">
        <v>185</v>
      </c>
    </row>
    <row r="54" spans="1:7" x14ac:dyDescent="0.25">
      <c r="A54" t="s">
        <v>559</v>
      </c>
      <c r="B54" t="s">
        <v>160</v>
      </c>
      <c r="C54" t="s">
        <v>491</v>
      </c>
      <c r="D54" t="s">
        <v>523</v>
      </c>
      <c r="E54" s="2">
        <v>46103</v>
      </c>
      <c r="F54" t="s">
        <v>506</v>
      </c>
      <c r="G54">
        <v>140</v>
      </c>
    </row>
    <row r="55" spans="1:7" x14ac:dyDescent="0.25">
      <c r="A55" t="s">
        <v>560</v>
      </c>
      <c r="B55" t="s">
        <v>198</v>
      </c>
      <c r="C55" t="s">
        <v>504</v>
      </c>
      <c r="D55" t="s">
        <v>501</v>
      </c>
      <c r="E55" s="2">
        <v>46099</v>
      </c>
      <c r="F55" t="s">
        <v>502</v>
      </c>
      <c r="G55">
        <v>210</v>
      </c>
    </row>
    <row r="56" spans="1:7" x14ac:dyDescent="0.25">
      <c r="A56" t="s">
        <v>561</v>
      </c>
      <c r="B56" t="s">
        <v>141</v>
      </c>
      <c r="C56" t="s">
        <v>491</v>
      </c>
      <c r="D56" t="s">
        <v>512</v>
      </c>
      <c r="E56" s="2">
        <v>46087</v>
      </c>
      <c r="F56" t="s">
        <v>493</v>
      </c>
      <c r="G56">
        <v>95</v>
      </c>
    </row>
    <row r="57" spans="1:7" x14ac:dyDescent="0.25">
      <c r="A57" t="s">
        <v>562</v>
      </c>
      <c r="B57" t="s">
        <v>159</v>
      </c>
      <c r="C57" t="s">
        <v>495</v>
      </c>
      <c r="D57" t="s">
        <v>501</v>
      </c>
      <c r="E57" s="2">
        <v>46111</v>
      </c>
      <c r="F57" t="s">
        <v>493</v>
      </c>
      <c r="G57">
        <v>250</v>
      </c>
    </row>
    <row r="58" spans="1:7" x14ac:dyDescent="0.25">
      <c r="A58" t="s">
        <v>563</v>
      </c>
      <c r="B58" t="s">
        <v>111</v>
      </c>
      <c r="C58" t="s">
        <v>495</v>
      </c>
      <c r="D58" t="s">
        <v>518</v>
      </c>
      <c r="E58" s="2">
        <v>46108</v>
      </c>
      <c r="F58" t="s">
        <v>493</v>
      </c>
      <c r="G58">
        <v>300</v>
      </c>
    </row>
    <row r="59" spans="1:7" x14ac:dyDescent="0.25">
      <c r="A59" t="s">
        <v>564</v>
      </c>
      <c r="B59" t="s">
        <v>157</v>
      </c>
      <c r="C59" t="s">
        <v>504</v>
      </c>
      <c r="D59" t="s">
        <v>515</v>
      </c>
      <c r="E59" s="2">
        <v>46085</v>
      </c>
      <c r="F59" t="s">
        <v>506</v>
      </c>
      <c r="G59">
        <v>131</v>
      </c>
    </row>
    <row r="60" spans="1:7" x14ac:dyDescent="0.25">
      <c r="A60" t="s">
        <v>565</v>
      </c>
      <c r="B60" t="s">
        <v>183</v>
      </c>
      <c r="C60" t="s">
        <v>491</v>
      </c>
      <c r="D60" t="s">
        <v>492</v>
      </c>
      <c r="E60" s="2">
        <v>46107</v>
      </c>
      <c r="F60" t="s">
        <v>506</v>
      </c>
      <c r="G60">
        <v>239</v>
      </c>
    </row>
    <row r="61" spans="1:7" x14ac:dyDescent="0.25">
      <c r="A61" t="s">
        <v>566</v>
      </c>
      <c r="B61" t="s">
        <v>190</v>
      </c>
      <c r="C61" t="s">
        <v>491</v>
      </c>
      <c r="D61" t="s">
        <v>508</v>
      </c>
      <c r="E61" s="2">
        <v>46089</v>
      </c>
      <c r="F61" t="s">
        <v>493</v>
      </c>
      <c r="G61">
        <v>133</v>
      </c>
    </row>
    <row r="62" spans="1:7" x14ac:dyDescent="0.25">
      <c r="A62" t="s">
        <v>567</v>
      </c>
      <c r="B62" t="s">
        <v>136</v>
      </c>
      <c r="C62" t="s">
        <v>500</v>
      </c>
      <c r="D62" t="s">
        <v>515</v>
      </c>
      <c r="E62" s="2">
        <v>46106</v>
      </c>
      <c r="F62" t="s">
        <v>502</v>
      </c>
      <c r="G62">
        <v>75</v>
      </c>
    </row>
    <row r="63" spans="1:7" x14ac:dyDescent="0.25">
      <c r="A63" t="s">
        <v>568</v>
      </c>
      <c r="B63" t="s">
        <v>66</v>
      </c>
      <c r="C63" t="s">
        <v>504</v>
      </c>
      <c r="D63" t="s">
        <v>492</v>
      </c>
      <c r="E63" s="2">
        <v>46110</v>
      </c>
      <c r="F63" t="s">
        <v>506</v>
      </c>
      <c r="G63">
        <v>214</v>
      </c>
    </row>
    <row r="64" spans="1:7" x14ac:dyDescent="0.25">
      <c r="A64" t="s">
        <v>569</v>
      </c>
      <c r="B64" t="s">
        <v>207</v>
      </c>
      <c r="C64" t="s">
        <v>491</v>
      </c>
      <c r="D64" t="s">
        <v>518</v>
      </c>
      <c r="E64" s="2">
        <v>46103</v>
      </c>
      <c r="F64" t="s">
        <v>506</v>
      </c>
      <c r="G64">
        <v>121</v>
      </c>
    </row>
    <row r="65" spans="1:7" x14ac:dyDescent="0.25">
      <c r="A65" t="s">
        <v>570</v>
      </c>
      <c r="B65" t="s">
        <v>89</v>
      </c>
      <c r="C65" t="s">
        <v>500</v>
      </c>
      <c r="D65" t="s">
        <v>492</v>
      </c>
      <c r="E65" s="2">
        <v>46082</v>
      </c>
      <c r="F65" t="s">
        <v>493</v>
      </c>
      <c r="G65">
        <v>73</v>
      </c>
    </row>
    <row r="66" spans="1:7" x14ac:dyDescent="0.25">
      <c r="A66" t="s">
        <v>571</v>
      </c>
      <c r="B66" t="s">
        <v>69</v>
      </c>
      <c r="C66" t="s">
        <v>495</v>
      </c>
      <c r="D66" t="s">
        <v>521</v>
      </c>
      <c r="E66" s="2">
        <v>46098</v>
      </c>
      <c r="F66" t="s">
        <v>506</v>
      </c>
      <c r="G66">
        <v>169</v>
      </c>
    </row>
    <row r="67" spans="1:7" x14ac:dyDescent="0.25">
      <c r="A67" t="s">
        <v>572</v>
      </c>
      <c r="B67" t="s">
        <v>138</v>
      </c>
      <c r="C67" t="s">
        <v>497</v>
      </c>
      <c r="D67" t="s">
        <v>492</v>
      </c>
      <c r="E67" s="2">
        <v>46085</v>
      </c>
      <c r="F67" t="s">
        <v>502</v>
      </c>
      <c r="G67">
        <v>194</v>
      </c>
    </row>
    <row r="68" spans="1:7" x14ac:dyDescent="0.25">
      <c r="A68" t="s">
        <v>573</v>
      </c>
      <c r="B68" t="s">
        <v>175</v>
      </c>
      <c r="C68" t="s">
        <v>495</v>
      </c>
      <c r="D68" t="s">
        <v>585</v>
      </c>
      <c r="E68" s="2">
        <v>46102</v>
      </c>
      <c r="F68" t="s">
        <v>493</v>
      </c>
      <c r="G68">
        <v>235</v>
      </c>
    </row>
    <row r="69" spans="1:7" x14ac:dyDescent="0.25">
      <c r="A69" t="s">
        <v>574</v>
      </c>
      <c r="B69" t="s">
        <v>177</v>
      </c>
      <c r="C69" t="s">
        <v>500</v>
      </c>
      <c r="D69" t="s">
        <v>508</v>
      </c>
      <c r="E69" s="2">
        <v>46085</v>
      </c>
      <c r="F69" t="s">
        <v>493</v>
      </c>
      <c r="G69">
        <v>201</v>
      </c>
    </row>
    <row r="70" spans="1:7" x14ac:dyDescent="0.25">
      <c r="A70" t="s">
        <v>575</v>
      </c>
      <c r="B70" t="s">
        <v>131</v>
      </c>
      <c r="C70" t="s">
        <v>504</v>
      </c>
      <c r="D70" t="s">
        <v>521</v>
      </c>
      <c r="E70" s="2">
        <v>46083</v>
      </c>
      <c r="F70" t="s">
        <v>506</v>
      </c>
      <c r="G70">
        <v>215</v>
      </c>
    </row>
    <row r="71" spans="1:7" x14ac:dyDescent="0.25">
      <c r="A71" t="s">
        <v>576</v>
      </c>
      <c r="B71" t="s">
        <v>199</v>
      </c>
      <c r="C71" t="s">
        <v>504</v>
      </c>
      <c r="D71" t="s">
        <v>512</v>
      </c>
      <c r="E71" s="2">
        <v>46102</v>
      </c>
      <c r="F71" t="s">
        <v>493</v>
      </c>
      <c r="G71">
        <v>135</v>
      </c>
    </row>
    <row r="72" spans="1:7" x14ac:dyDescent="0.25">
      <c r="A72" t="s">
        <v>577</v>
      </c>
      <c r="B72" t="s">
        <v>102</v>
      </c>
      <c r="C72" t="s">
        <v>497</v>
      </c>
      <c r="D72" t="s">
        <v>521</v>
      </c>
      <c r="E72" s="2">
        <v>46091</v>
      </c>
      <c r="F72" t="s">
        <v>502</v>
      </c>
      <c r="G72">
        <v>290</v>
      </c>
    </row>
    <row r="73" spans="1:7" x14ac:dyDescent="0.25">
      <c r="A73" t="s">
        <v>578</v>
      </c>
      <c r="B73" t="s">
        <v>26</v>
      </c>
      <c r="C73" t="s">
        <v>491</v>
      </c>
      <c r="D73" t="s">
        <v>518</v>
      </c>
      <c r="E73" s="2">
        <v>46087</v>
      </c>
      <c r="F73" t="s">
        <v>506</v>
      </c>
      <c r="G73">
        <v>274</v>
      </c>
    </row>
    <row r="74" spans="1:7" x14ac:dyDescent="0.25">
      <c r="A74" t="s">
        <v>579</v>
      </c>
      <c r="B74" t="s">
        <v>53</v>
      </c>
      <c r="C74" t="s">
        <v>500</v>
      </c>
      <c r="D74" t="s">
        <v>512</v>
      </c>
      <c r="E74" s="2">
        <v>46094</v>
      </c>
      <c r="F74" t="s">
        <v>506</v>
      </c>
      <c r="G74">
        <v>84</v>
      </c>
    </row>
    <row r="75" spans="1:7" x14ac:dyDescent="0.25">
      <c r="A75" t="s">
        <v>580</v>
      </c>
      <c r="B75" t="s">
        <v>78</v>
      </c>
      <c r="C75" t="s">
        <v>495</v>
      </c>
      <c r="D75" t="s">
        <v>512</v>
      </c>
      <c r="E75" s="2">
        <v>46085</v>
      </c>
      <c r="F75" t="s">
        <v>493</v>
      </c>
      <c r="G75">
        <v>120</v>
      </c>
    </row>
    <row r="76" spans="1:7" x14ac:dyDescent="0.25">
      <c r="A76" t="s">
        <v>581</v>
      </c>
      <c r="B76" t="s">
        <v>123</v>
      </c>
      <c r="C76" t="s">
        <v>500</v>
      </c>
      <c r="D76" t="s">
        <v>492</v>
      </c>
      <c r="E76" s="2">
        <v>46109</v>
      </c>
      <c r="F76" t="s">
        <v>493</v>
      </c>
      <c r="G76">
        <v>279</v>
      </c>
    </row>
    <row r="77" spans="1:7" x14ac:dyDescent="0.25">
      <c r="A77" t="s">
        <v>582</v>
      </c>
      <c r="B77" t="s">
        <v>26</v>
      </c>
      <c r="C77" t="s">
        <v>491</v>
      </c>
      <c r="D77" t="s">
        <v>585</v>
      </c>
      <c r="E77" s="2">
        <v>46103</v>
      </c>
      <c r="F77" t="s">
        <v>506</v>
      </c>
      <c r="G77">
        <v>114</v>
      </c>
    </row>
    <row r="78" spans="1:7" x14ac:dyDescent="0.25">
      <c r="A78" t="s">
        <v>583</v>
      </c>
      <c r="B78" t="s">
        <v>199</v>
      </c>
      <c r="C78" t="s">
        <v>491</v>
      </c>
      <c r="D78" t="s">
        <v>518</v>
      </c>
      <c r="E78" s="2">
        <v>46083</v>
      </c>
      <c r="F78" t="s">
        <v>506</v>
      </c>
      <c r="G78">
        <v>162</v>
      </c>
    </row>
    <row r="79" spans="1:7" x14ac:dyDescent="0.25">
      <c r="A79" t="s">
        <v>584</v>
      </c>
      <c r="B79" t="s">
        <v>209</v>
      </c>
      <c r="C79" t="s">
        <v>497</v>
      </c>
      <c r="D79" t="s">
        <v>518</v>
      </c>
      <c r="E79" s="2">
        <v>46110</v>
      </c>
      <c r="F79" t="s">
        <v>493</v>
      </c>
      <c r="G79">
        <v>112</v>
      </c>
    </row>
    <row r="80" spans="1:7" x14ac:dyDescent="0.25">
      <c r="A80" t="s">
        <v>586</v>
      </c>
      <c r="B80" t="s">
        <v>201</v>
      </c>
      <c r="C80" t="s">
        <v>504</v>
      </c>
      <c r="D80" t="s">
        <v>508</v>
      </c>
      <c r="E80" s="2">
        <v>46082</v>
      </c>
      <c r="F80" t="s">
        <v>506</v>
      </c>
      <c r="G80">
        <v>126</v>
      </c>
    </row>
    <row r="81" spans="1:7" x14ac:dyDescent="0.25">
      <c r="A81" t="s">
        <v>587</v>
      </c>
      <c r="B81" t="s">
        <v>125</v>
      </c>
      <c r="C81" t="s">
        <v>495</v>
      </c>
      <c r="D81" t="s">
        <v>492</v>
      </c>
      <c r="E81" s="2">
        <v>46092</v>
      </c>
      <c r="F81" t="s">
        <v>506</v>
      </c>
      <c r="G81">
        <v>292</v>
      </c>
    </row>
    <row r="82" spans="1:7" x14ac:dyDescent="0.25">
      <c r="A82" t="s">
        <v>588</v>
      </c>
      <c r="B82" t="s">
        <v>193</v>
      </c>
      <c r="C82" t="s">
        <v>504</v>
      </c>
      <c r="D82" t="s">
        <v>521</v>
      </c>
      <c r="E82" s="2">
        <v>46082</v>
      </c>
      <c r="F82" t="s">
        <v>502</v>
      </c>
      <c r="G82">
        <v>208</v>
      </c>
    </row>
    <row r="83" spans="1:7" x14ac:dyDescent="0.25">
      <c r="A83" t="s">
        <v>589</v>
      </c>
      <c r="B83" t="s">
        <v>188</v>
      </c>
      <c r="C83" t="s">
        <v>500</v>
      </c>
      <c r="D83" t="s">
        <v>508</v>
      </c>
      <c r="E83" s="2">
        <v>46093</v>
      </c>
      <c r="F83" t="s">
        <v>506</v>
      </c>
      <c r="G83">
        <v>214</v>
      </c>
    </row>
    <row r="84" spans="1:7" x14ac:dyDescent="0.25">
      <c r="A84" t="s">
        <v>590</v>
      </c>
      <c r="B84" t="s">
        <v>159</v>
      </c>
      <c r="C84" t="s">
        <v>491</v>
      </c>
      <c r="D84" t="s">
        <v>523</v>
      </c>
      <c r="E84" s="2">
        <v>46088</v>
      </c>
      <c r="F84" t="s">
        <v>493</v>
      </c>
      <c r="G84">
        <v>265</v>
      </c>
    </row>
    <row r="85" spans="1:7" x14ac:dyDescent="0.25">
      <c r="A85" t="s">
        <v>591</v>
      </c>
      <c r="B85" t="s">
        <v>149</v>
      </c>
      <c r="C85" t="s">
        <v>500</v>
      </c>
      <c r="D85" t="s">
        <v>515</v>
      </c>
      <c r="E85" s="2">
        <v>46093</v>
      </c>
      <c r="F85" t="s">
        <v>493</v>
      </c>
      <c r="G85">
        <v>183</v>
      </c>
    </row>
    <row r="86" spans="1:7" x14ac:dyDescent="0.25">
      <c r="A86" t="s">
        <v>592</v>
      </c>
      <c r="B86" t="s">
        <v>164</v>
      </c>
      <c r="C86" t="s">
        <v>500</v>
      </c>
      <c r="D86" t="s">
        <v>515</v>
      </c>
      <c r="E86" s="2">
        <v>46087</v>
      </c>
      <c r="F86" t="s">
        <v>506</v>
      </c>
      <c r="G86">
        <v>190</v>
      </c>
    </row>
    <row r="87" spans="1:7" x14ac:dyDescent="0.25">
      <c r="A87" t="s">
        <v>593</v>
      </c>
      <c r="B87" t="s">
        <v>166</v>
      </c>
      <c r="C87" t="s">
        <v>491</v>
      </c>
      <c r="D87" t="s">
        <v>585</v>
      </c>
      <c r="E87" s="2">
        <v>46095</v>
      </c>
      <c r="F87" t="s">
        <v>493</v>
      </c>
      <c r="G87">
        <v>300</v>
      </c>
    </row>
    <row r="88" spans="1:7" x14ac:dyDescent="0.25">
      <c r="A88" t="s">
        <v>594</v>
      </c>
      <c r="B88" t="s">
        <v>196</v>
      </c>
      <c r="C88" t="s">
        <v>504</v>
      </c>
      <c r="D88" t="s">
        <v>585</v>
      </c>
      <c r="E88" s="2">
        <v>46093</v>
      </c>
      <c r="F88" t="s">
        <v>506</v>
      </c>
      <c r="G88">
        <v>212</v>
      </c>
    </row>
    <row r="89" spans="1:7" x14ac:dyDescent="0.25">
      <c r="A89" t="s">
        <v>595</v>
      </c>
      <c r="B89" t="s">
        <v>75</v>
      </c>
      <c r="C89" t="s">
        <v>497</v>
      </c>
      <c r="D89" t="s">
        <v>515</v>
      </c>
      <c r="E89" s="2">
        <v>46092</v>
      </c>
      <c r="F89" t="s">
        <v>493</v>
      </c>
      <c r="G89">
        <v>63</v>
      </c>
    </row>
    <row r="90" spans="1:7" x14ac:dyDescent="0.25">
      <c r="A90" t="s">
        <v>596</v>
      </c>
      <c r="B90" t="s">
        <v>199</v>
      </c>
      <c r="C90" t="s">
        <v>497</v>
      </c>
      <c r="D90" t="s">
        <v>585</v>
      </c>
      <c r="E90" s="2">
        <v>46110</v>
      </c>
      <c r="F90" t="s">
        <v>506</v>
      </c>
      <c r="G90">
        <v>90</v>
      </c>
    </row>
    <row r="91" spans="1:7" x14ac:dyDescent="0.25">
      <c r="A91" t="s">
        <v>597</v>
      </c>
      <c r="B91" t="s">
        <v>53</v>
      </c>
      <c r="C91" t="s">
        <v>497</v>
      </c>
      <c r="D91" t="s">
        <v>523</v>
      </c>
      <c r="E91" s="2">
        <v>46082</v>
      </c>
      <c r="F91" t="s">
        <v>506</v>
      </c>
      <c r="G91">
        <v>156</v>
      </c>
    </row>
    <row r="92" spans="1:7" x14ac:dyDescent="0.25">
      <c r="A92" t="s">
        <v>598</v>
      </c>
      <c r="B92" t="s">
        <v>111</v>
      </c>
      <c r="C92" t="s">
        <v>495</v>
      </c>
      <c r="D92" t="s">
        <v>515</v>
      </c>
      <c r="E92" s="2">
        <v>46103</v>
      </c>
      <c r="F92" t="s">
        <v>502</v>
      </c>
      <c r="G92">
        <v>281</v>
      </c>
    </row>
    <row r="93" spans="1:7" x14ac:dyDescent="0.25">
      <c r="A93" t="s">
        <v>599</v>
      </c>
      <c r="B93" t="s">
        <v>109</v>
      </c>
      <c r="C93" t="s">
        <v>504</v>
      </c>
      <c r="D93" t="s">
        <v>508</v>
      </c>
      <c r="E93" s="2">
        <v>46111</v>
      </c>
      <c r="F93" t="s">
        <v>502</v>
      </c>
      <c r="G93">
        <v>265</v>
      </c>
    </row>
    <row r="94" spans="1:7" x14ac:dyDescent="0.25">
      <c r="A94" t="s">
        <v>600</v>
      </c>
      <c r="B94" t="s">
        <v>121</v>
      </c>
      <c r="C94" t="s">
        <v>495</v>
      </c>
      <c r="D94" t="s">
        <v>515</v>
      </c>
      <c r="E94" s="2">
        <v>46098</v>
      </c>
      <c r="F94" t="s">
        <v>493</v>
      </c>
      <c r="G94">
        <v>238</v>
      </c>
    </row>
    <row r="95" spans="1:7" x14ac:dyDescent="0.25">
      <c r="A95" t="s">
        <v>601</v>
      </c>
      <c r="B95" t="s">
        <v>198</v>
      </c>
      <c r="C95" t="s">
        <v>495</v>
      </c>
      <c r="D95" t="s">
        <v>501</v>
      </c>
      <c r="E95" s="2">
        <v>46107</v>
      </c>
      <c r="F95" t="s">
        <v>493</v>
      </c>
      <c r="G95">
        <v>256</v>
      </c>
    </row>
    <row r="96" spans="1:7" x14ac:dyDescent="0.25">
      <c r="A96" t="s">
        <v>602</v>
      </c>
      <c r="B96" t="s">
        <v>209</v>
      </c>
      <c r="C96" t="s">
        <v>495</v>
      </c>
      <c r="D96" t="s">
        <v>515</v>
      </c>
      <c r="E96" s="2">
        <v>46109</v>
      </c>
      <c r="F96" t="s">
        <v>506</v>
      </c>
      <c r="G96">
        <v>146</v>
      </c>
    </row>
    <row r="97" spans="1:7" x14ac:dyDescent="0.25">
      <c r="A97" t="s">
        <v>603</v>
      </c>
      <c r="B97" t="s">
        <v>204</v>
      </c>
      <c r="C97" t="s">
        <v>504</v>
      </c>
      <c r="D97" t="s">
        <v>521</v>
      </c>
      <c r="E97" s="2">
        <v>46088</v>
      </c>
      <c r="F97" t="s">
        <v>493</v>
      </c>
      <c r="G97">
        <v>235</v>
      </c>
    </row>
    <row r="98" spans="1:7" x14ac:dyDescent="0.25">
      <c r="A98" t="s">
        <v>604</v>
      </c>
      <c r="B98" t="s">
        <v>157</v>
      </c>
      <c r="C98" t="s">
        <v>504</v>
      </c>
      <c r="D98" t="s">
        <v>585</v>
      </c>
      <c r="E98" s="2">
        <v>46086</v>
      </c>
      <c r="F98" t="s">
        <v>493</v>
      </c>
      <c r="G98">
        <v>169</v>
      </c>
    </row>
    <row r="99" spans="1:7" x14ac:dyDescent="0.25">
      <c r="A99" t="s">
        <v>605</v>
      </c>
      <c r="B99" t="s">
        <v>131</v>
      </c>
      <c r="C99" t="s">
        <v>497</v>
      </c>
      <c r="D99" t="s">
        <v>521</v>
      </c>
      <c r="E99" s="2">
        <v>46101</v>
      </c>
      <c r="F99" t="s">
        <v>493</v>
      </c>
      <c r="G99">
        <v>208</v>
      </c>
    </row>
    <row r="100" spans="1:7" x14ac:dyDescent="0.25">
      <c r="A100" t="s">
        <v>606</v>
      </c>
      <c r="B100" t="s">
        <v>111</v>
      </c>
      <c r="C100" t="s">
        <v>504</v>
      </c>
      <c r="D100" t="s">
        <v>512</v>
      </c>
      <c r="E100" s="2">
        <v>46107</v>
      </c>
      <c r="F100" t="s">
        <v>502</v>
      </c>
      <c r="G100">
        <v>60</v>
      </c>
    </row>
    <row r="101" spans="1:7" x14ac:dyDescent="0.25">
      <c r="A101" t="s">
        <v>607</v>
      </c>
      <c r="B101" t="s">
        <v>166</v>
      </c>
      <c r="C101" t="s">
        <v>491</v>
      </c>
      <c r="D101" t="s">
        <v>523</v>
      </c>
      <c r="E101" s="2">
        <v>46087</v>
      </c>
      <c r="F101" t="s">
        <v>493</v>
      </c>
      <c r="G101">
        <v>276</v>
      </c>
    </row>
    <row r="102" spans="1:7" x14ac:dyDescent="0.25">
      <c r="A102" t="s">
        <v>608</v>
      </c>
      <c r="B102" t="s">
        <v>22</v>
      </c>
      <c r="C102" t="s">
        <v>491</v>
      </c>
      <c r="D102" t="s">
        <v>523</v>
      </c>
      <c r="E102" s="2">
        <v>46087</v>
      </c>
      <c r="F102" t="s">
        <v>506</v>
      </c>
      <c r="G102">
        <v>281</v>
      </c>
    </row>
    <row r="103" spans="1:7" x14ac:dyDescent="0.25">
      <c r="A103" t="s">
        <v>609</v>
      </c>
      <c r="B103" t="s">
        <v>141</v>
      </c>
      <c r="C103" t="s">
        <v>491</v>
      </c>
      <c r="D103" t="s">
        <v>501</v>
      </c>
      <c r="E103" s="2">
        <v>46104</v>
      </c>
      <c r="F103" t="s">
        <v>502</v>
      </c>
      <c r="G103">
        <v>197</v>
      </c>
    </row>
    <row r="104" spans="1:7" x14ac:dyDescent="0.25">
      <c r="A104" t="s">
        <v>610</v>
      </c>
      <c r="B104" t="s">
        <v>149</v>
      </c>
      <c r="C104" t="s">
        <v>495</v>
      </c>
      <c r="D104" t="s">
        <v>512</v>
      </c>
      <c r="E104" s="2">
        <v>46111</v>
      </c>
      <c r="F104" t="s">
        <v>502</v>
      </c>
      <c r="G104">
        <v>203</v>
      </c>
    </row>
    <row r="105" spans="1:7" x14ac:dyDescent="0.25">
      <c r="A105" t="s">
        <v>611</v>
      </c>
      <c r="B105" t="s">
        <v>96</v>
      </c>
      <c r="C105" t="s">
        <v>491</v>
      </c>
      <c r="D105" t="s">
        <v>508</v>
      </c>
      <c r="E105" s="2">
        <v>46088</v>
      </c>
      <c r="F105" t="s">
        <v>506</v>
      </c>
      <c r="G105">
        <v>92</v>
      </c>
    </row>
    <row r="106" spans="1:7" x14ac:dyDescent="0.25">
      <c r="A106" t="s">
        <v>612</v>
      </c>
      <c r="B106" t="s">
        <v>166</v>
      </c>
      <c r="C106" t="s">
        <v>504</v>
      </c>
      <c r="D106" t="s">
        <v>492</v>
      </c>
      <c r="E106" s="2">
        <v>46101</v>
      </c>
      <c r="F106" t="s">
        <v>506</v>
      </c>
      <c r="G106">
        <v>174</v>
      </c>
    </row>
    <row r="107" spans="1:7" x14ac:dyDescent="0.25">
      <c r="A107" t="s">
        <v>613</v>
      </c>
      <c r="B107" t="s">
        <v>145</v>
      </c>
      <c r="C107" t="s">
        <v>495</v>
      </c>
      <c r="D107" t="s">
        <v>501</v>
      </c>
      <c r="E107" s="2">
        <v>46084</v>
      </c>
      <c r="F107" t="s">
        <v>493</v>
      </c>
      <c r="G107">
        <v>231</v>
      </c>
    </row>
    <row r="108" spans="1:7" x14ac:dyDescent="0.25">
      <c r="A108" t="s">
        <v>614</v>
      </c>
      <c r="B108" t="s">
        <v>64</v>
      </c>
      <c r="C108" t="s">
        <v>495</v>
      </c>
      <c r="D108" t="s">
        <v>492</v>
      </c>
      <c r="E108" s="2">
        <v>46083</v>
      </c>
      <c r="F108" t="s">
        <v>502</v>
      </c>
      <c r="G108">
        <v>144</v>
      </c>
    </row>
    <row r="109" spans="1:7" x14ac:dyDescent="0.25">
      <c r="A109" t="s">
        <v>615</v>
      </c>
      <c r="B109" t="s">
        <v>121</v>
      </c>
      <c r="C109" t="s">
        <v>495</v>
      </c>
      <c r="D109" t="s">
        <v>512</v>
      </c>
      <c r="E109" s="2">
        <v>46107</v>
      </c>
      <c r="F109" t="s">
        <v>506</v>
      </c>
      <c r="G109">
        <v>210</v>
      </c>
    </row>
    <row r="110" spans="1:7" x14ac:dyDescent="0.25">
      <c r="A110" t="s">
        <v>616</v>
      </c>
      <c r="B110" t="s">
        <v>72</v>
      </c>
      <c r="C110" t="s">
        <v>491</v>
      </c>
      <c r="D110" t="s">
        <v>498</v>
      </c>
      <c r="E110" s="2">
        <v>46104</v>
      </c>
      <c r="F110" t="s">
        <v>506</v>
      </c>
      <c r="G110">
        <v>280</v>
      </c>
    </row>
    <row r="111" spans="1:7" x14ac:dyDescent="0.25">
      <c r="A111" t="s">
        <v>617</v>
      </c>
      <c r="B111" t="s">
        <v>16</v>
      </c>
      <c r="C111" t="s">
        <v>504</v>
      </c>
      <c r="D111" t="s">
        <v>523</v>
      </c>
      <c r="E111" s="2">
        <v>46099</v>
      </c>
      <c r="F111" t="s">
        <v>506</v>
      </c>
      <c r="G111">
        <v>154</v>
      </c>
    </row>
    <row r="112" spans="1:7" x14ac:dyDescent="0.25">
      <c r="A112" t="s">
        <v>618</v>
      </c>
      <c r="B112" t="s">
        <v>117</v>
      </c>
      <c r="C112" t="s">
        <v>497</v>
      </c>
      <c r="D112" t="s">
        <v>508</v>
      </c>
      <c r="E112" s="2">
        <v>46111</v>
      </c>
      <c r="F112" t="s">
        <v>502</v>
      </c>
      <c r="G112">
        <v>299</v>
      </c>
    </row>
    <row r="113" spans="1:7" x14ac:dyDescent="0.25">
      <c r="A113" t="s">
        <v>619</v>
      </c>
      <c r="B113" t="s">
        <v>156</v>
      </c>
      <c r="C113" t="s">
        <v>495</v>
      </c>
      <c r="D113" t="s">
        <v>508</v>
      </c>
      <c r="E113" s="2">
        <v>46102</v>
      </c>
      <c r="F113" t="s">
        <v>506</v>
      </c>
      <c r="G113">
        <v>281</v>
      </c>
    </row>
    <row r="114" spans="1:7" x14ac:dyDescent="0.25">
      <c r="A114" t="s">
        <v>620</v>
      </c>
      <c r="B114" t="s">
        <v>207</v>
      </c>
      <c r="C114" t="s">
        <v>504</v>
      </c>
      <c r="D114" t="s">
        <v>492</v>
      </c>
      <c r="E114" s="2">
        <v>46086</v>
      </c>
      <c r="F114" t="s">
        <v>502</v>
      </c>
      <c r="G114">
        <v>134</v>
      </c>
    </row>
    <row r="115" spans="1:7" x14ac:dyDescent="0.25">
      <c r="A115" t="s">
        <v>621</v>
      </c>
      <c r="B115" t="s">
        <v>196</v>
      </c>
      <c r="C115" t="s">
        <v>504</v>
      </c>
      <c r="D115" t="s">
        <v>585</v>
      </c>
      <c r="E115" s="2">
        <v>46092</v>
      </c>
      <c r="F115" t="s">
        <v>493</v>
      </c>
      <c r="G115">
        <v>295</v>
      </c>
    </row>
    <row r="116" spans="1:7" x14ac:dyDescent="0.25">
      <c r="A116" t="s">
        <v>622</v>
      </c>
      <c r="B116" t="s">
        <v>191</v>
      </c>
      <c r="C116" t="s">
        <v>497</v>
      </c>
      <c r="D116" t="s">
        <v>523</v>
      </c>
      <c r="E116" s="2">
        <v>46109</v>
      </c>
      <c r="F116" t="s">
        <v>502</v>
      </c>
      <c r="G116">
        <v>242</v>
      </c>
    </row>
    <row r="117" spans="1:7" x14ac:dyDescent="0.25">
      <c r="A117" t="s">
        <v>623</v>
      </c>
      <c r="B117" t="s">
        <v>72</v>
      </c>
      <c r="C117" t="s">
        <v>491</v>
      </c>
      <c r="D117" t="s">
        <v>585</v>
      </c>
      <c r="E117" s="2">
        <v>46097</v>
      </c>
      <c r="F117" t="s">
        <v>502</v>
      </c>
      <c r="G117">
        <v>137</v>
      </c>
    </row>
    <row r="118" spans="1:7" x14ac:dyDescent="0.25">
      <c r="A118" t="s">
        <v>624</v>
      </c>
      <c r="B118" t="s">
        <v>33</v>
      </c>
      <c r="C118" t="s">
        <v>495</v>
      </c>
      <c r="D118" t="s">
        <v>521</v>
      </c>
      <c r="E118" s="2">
        <v>46088</v>
      </c>
      <c r="F118" t="s">
        <v>493</v>
      </c>
      <c r="G118">
        <v>265</v>
      </c>
    </row>
    <row r="119" spans="1:7" x14ac:dyDescent="0.25">
      <c r="A119" t="s">
        <v>625</v>
      </c>
      <c r="B119" t="s">
        <v>147</v>
      </c>
      <c r="C119" t="s">
        <v>495</v>
      </c>
      <c r="D119" t="s">
        <v>498</v>
      </c>
      <c r="E119" s="2">
        <v>46095</v>
      </c>
      <c r="F119" t="s">
        <v>502</v>
      </c>
      <c r="G119">
        <v>298</v>
      </c>
    </row>
    <row r="120" spans="1:7" x14ac:dyDescent="0.25">
      <c r="A120" t="s">
        <v>626</v>
      </c>
      <c r="B120" t="s">
        <v>175</v>
      </c>
      <c r="C120" t="s">
        <v>504</v>
      </c>
      <c r="D120" t="s">
        <v>521</v>
      </c>
      <c r="E120" s="2">
        <v>46086</v>
      </c>
      <c r="F120" t="s">
        <v>502</v>
      </c>
      <c r="G120">
        <v>133</v>
      </c>
    </row>
    <row r="121" spans="1:7" x14ac:dyDescent="0.25">
      <c r="A121" t="s">
        <v>627</v>
      </c>
      <c r="B121" t="s">
        <v>128</v>
      </c>
      <c r="C121" t="s">
        <v>491</v>
      </c>
      <c r="D121" t="s">
        <v>523</v>
      </c>
      <c r="E121" s="2">
        <v>46095</v>
      </c>
      <c r="F121" t="s">
        <v>493</v>
      </c>
      <c r="G121">
        <v>88</v>
      </c>
    </row>
    <row r="122" spans="1:7" x14ac:dyDescent="0.25">
      <c r="A122" t="s">
        <v>628</v>
      </c>
      <c r="B122" t="s">
        <v>69</v>
      </c>
      <c r="C122" t="s">
        <v>500</v>
      </c>
      <c r="D122" t="s">
        <v>523</v>
      </c>
      <c r="E122" s="2">
        <v>46090</v>
      </c>
      <c r="F122" t="s">
        <v>506</v>
      </c>
      <c r="G122">
        <v>110</v>
      </c>
    </row>
    <row r="123" spans="1:7" x14ac:dyDescent="0.25">
      <c r="A123" t="s">
        <v>629</v>
      </c>
      <c r="B123" t="s">
        <v>191</v>
      </c>
      <c r="C123" t="s">
        <v>495</v>
      </c>
      <c r="D123" t="s">
        <v>521</v>
      </c>
      <c r="E123" s="2">
        <v>46082</v>
      </c>
      <c r="F123" t="s">
        <v>493</v>
      </c>
      <c r="G123">
        <v>270</v>
      </c>
    </row>
    <row r="124" spans="1:7" x14ac:dyDescent="0.25">
      <c r="A124" t="s">
        <v>630</v>
      </c>
      <c r="B124" t="s">
        <v>191</v>
      </c>
      <c r="C124" t="s">
        <v>500</v>
      </c>
      <c r="D124" t="s">
        <v>501</v>
      </c>
      <c r="E124" s="2">
        <v>46108</v>
      </c>
      <c r="F124" t="s">
        <v>502</v>
      </c>
      <c r="G124">
        <v>92</v>
      </c>
    </row>
    <row r="125" spans="1:7" x14ac:dyDescent="0.25">
      <c r="A125" t="s">
        <v>631</v>
      </c>
      <c r="B125" t="s">
        <v>183</v>
      </c>
      <c r="C125" t="s">
        <v>504</v>
      </c>
      <c r="D125" t="s">
        <v>512</v>
      </c>
      <c r="E125" s="2">
        <v>46083</v>
      </c>
      <c r="F125" t="s">
        <v>493</v>
      </c>
      <c r="G125">
        <v>290</v>
      </c>
    </row>
    <row r="126" spans="1:7" x14ac:dyDescent="0.25">
      <c r="A126" t="s">
        <v>632</v>
      </c>
      <c r="B126" t="s">
        <v>134</v>
      </c>
      <c r="C126" t="s">
        <v>495</v>
      </c>
      <c r="D126" t="s">
        <v>492</v>
      </c>
      <c r="E126" s="2">
        <v>46083</v>
      </c>
      <c r="F126" t="s">
        <v>502</v>
      </c>
      <c r="G126">
        <v>149</v>
      </c>
    </row>
    <row r="127" spans="1:7" x14ac:dyDescent="0.25">
      <c r="A127" t="s">
        <v>633</v>
      </c>
      <c r="B127" t="s">
        <v>109</v>
      </c>
      <c r="C127" t="s">
        <v>500</v>
      </c>
      <c r="D127" t="s">
        <v>515</v>
      </c>
      <c r="E127" s="2">
        <v>46085</v>
      </c>
      <c r="F127" t="s">
        <v>502</v>
      </c>
      <c r="G127">
        <v>161</v>
      </c>
    </row>
    <row r="128" spans="1:7" x14ac:dyDescent="0.25">
      <c r="A128" t="s">
        <v>634</v>
      </c>
      <c r="B128" t="s">
        <v>9</v>
      </c>
      <c r="C128" t="s">
        <v>504</v>
      </c>
      <c r="D128" t="s">
        <v>585</v>
      </c>
      <c r="E128" s="2">
        <v>46109</v>
      </c>
      <c r="F128" t="s">
        <v>493</v>
      </c>
      <c r="G128">
        <v>141</v>
      </c>
    </row>
    <row r="129" spans="1:7" x14ac:dyDescent="0.25">
      <c r="A129" t="s">
        <v>635</v>
      </c>
      <c r="B129" t="s">
        <v>166</v>
      </c>
      <c r="C129" t="s">
        <v>491</v>
      </c>
      <c r="D129" t="s">
        <v>523</v>
      </c>
      <c r="E129" s="2">
        <v>46110</v>
      </c>
      <c r="F129" t="s">
        <v>506</v>
      </c>
      <c r="G129">
        <v>294</v>
      </c>
    </row>
    <row r="130" spans="1:7" x14ac:dyDescent="0.25">
      <c r="A130" t="s">
        <v>636</v>
      </c>
      <c r="B130" t="s">
        <v>37</v>
      </c>
      <c r="C130" t="s">
        <v>491</v>
      </c>
      <c r="D130" t="s">
        <v>521</v>
      </c>
      <c r="E130" s="2">
        <v>46094</v>
      </c>
      <c r="F130" t="s">
        <v>506</v>
      </c>
      <c r="G130">
        <v>236</v>
      </c>
    </row>
    <row r="131" spans="1:7" x14ac:dyDescent="0.25">
      <c r="A131" t="s">
        <v>637</v>
      </c>
      <c r="B131" t="s">
        <v>117</v>
      </c>
      <c r="C131" t="s">
        <v>504</v>
      </c>
      <c r="D131" t="s">
        <v>523</v>
      </c>
      <c r="E131" s="2">
        <v>46107</v>
      </c>
      <c r="F131" t="s">
        <v>502</v>
      </c>
      <c r="G131">
        <v>265</v>
      </c>
    </row>
    <row r="132" spans="1:7" x14ac:dyDescent="0.25">
      <c r="A132" t="s">
        <v>638</v>
      </c>
      <c r="B132" t="s">
        <v>161</v>
      </c>
      <c r="C132" t="s">
        <v>491</v>
      </c>
      <c r="D132" t="s">
        <v>508</v>
      </c>
      <c r="E132" s="2">
        <v>46095</v>
      </c>
      <c r="F132" t="s">
        <v>493</v>
      </c>
      <c r="G132">
        <v>118</v>
      </c>
    </row>
    <row r="133" spans="1:7" x14ac:dyDescent="0.25">
      <c r="A133" t="s">
        <v>639</v>
      </c>
      <c r="B133" t="s">
        <v>185</v>
      </c>
      <c r="C133" t="s">
        <v>504</v>
      </c>
      <c r="D133" t="s">
        <v>523</v>
      </c>
      <c r="E133" s="2">
        <v>46093</v>
      </c>
      <c r="F133" t="s">
        <v>502</v>
      </c>
      <c r="G133">
        <v>187</v>
      </c>
    </row>
    <row r="134" spans="1:7" x14ac:dyDescent="0.25">
      <c r="A134" t="s">
        <v>640</v>
      </c>
      <c r="B134" t="s">
        <v>149</v>
      </c>
      <c r="C134" t="s">
        <v>495</v>
      </c>
      <c r="D134" t="s">
        <v>492</v>
      </c>
      <c r="E134" s="2">
        <v>46110</v>
      </c>
      <c r="F134" t="s">
        <v>493</v>
      </c>
      <c r="G134">
        <v>215</v>
      </c>
    </row>
    <row r="135" spans="1:7" x14ac:dyDescent="0.25">
      <c r="A135" t="s">
        <v>641</v>
      </c>
      <c r="B135" t="s">
        <v>185</v>
      </c>
      <c r="C135" t="s">
        <v>495</v>
      </c>
      <c r="D135" t="s">
        <v>512</v>
      </c>
      <c r="E135" s="2">
        <v>46092</v>
      </c>
      <c r="F135" t="s">
        <v>502</v>
      </c>
      <c r="G135">
        <v>296</v>
      </c>
    </row>
    <row r="136" spans="1:7" x14ac:dyDescent="0.25">
      <c r="A136" t="s">
        <v>642</v>
      </c>
      <c r="B136" t="s">
        <v>175</v>
      </c>
      <c r="C136" t="s">
        <v>491</v>
      </c>
      <c r="D136" t="s">
        <v>498</v>
      </c>
      <c r="E136" s="2">
        <v>46085</v>
      </c>
      <c r="F136" t="s">
        <v>502</v>
      </c>
      <c r="G136">
        <v>225</v>
      </c>
    </row>
    <row r="137" spans="1:7" x14ac:dyDescent="0.25">
      <c r="A137" t="s">
        <v>643</v>
      </c>
      <c r="B137" t="s">
        <v>209</v>
      </c>
      <c r="C137" t="s">
        <v>495</v>
      </c>
      <c r="D137" t="s">
        <v>508</v>
      </c>
      <c r="E137" s="2">
        <v>46094</v>
      </c>
      <c r="F137" t="s">
        <v>506</v>
      </c>
      <c r="G137">
        <v>220</v>
      </c>
    </row>
    <row r="138" spans="1:7" x14ac:dyDescent="0.25">
      <c r="A138" t="s">
        <v>644</v>
      </c>
      <c r="B138" t="s">
        <v>199</v>
      </c>
      <c r="C138" t="s">
        <v>497</v>
      </c>
      <c r="D138" t="s">
        <v>508</v>
      </c>
      <c r="E138" s="2">
        <v>46089</v>
      </c>
      <c r="F138" t="s">
        <v>506</v>
      </c>
      <c r="G138">
        <v>229</v>
      </c>
    </row>
    <row r="139" spans="1:7" x14ac:dyDescent="0.25">
      <c r="A139" t="s">
        <v>645</v>
      </c>
      <c r="B139" t="s">
        <v>190</v>
      </c>
      <c r="C139" t="s">
        <v>497</v>
      </c>
      <c r="D139" t="s">
        <v>515</v>
      </c>
      <c r="E139" s="2">
        <v>46095</v>
      </c>
      <c r="F139" t="s">
        <v>506</v>
      </c>
      <c r="G139">
        <v>158</v>
      </c>
    </row>
    <row r="140" spans="1:7" x14ac:dyDescent="0.25">
      <c r="A140" t="s">
        <v>646</v>
      </c>
      <c r="B140" t="s">
        <v>100</v>
      </c>
      <c r="C140" t="s">
        <v>491</v>
      </c>
      <c r="D140" t="s">
        <v>501</v>
      </c>
      <c r="E140" s="2">
        <v>46101</v>
      </c>
      <c r="F140" t="s">
        <v>493</v>
      </c>
      <c r="G140">
        <v>52</v>
      </c>
    </row>
    <row r="141" spans="1:7" x14ac:dyDescent="0.25">
      <c r="A141" t="s">
        <v>647</v>
      </c>
      <c r="B141" t="s">
        <v>183</v>
      </c>
      <c r="C141" t="s">
        <v>491</v>
      </c>
      <c r="D141" t="s">
        <v>508</v>
      </c>
      <c r="E141" s="2">
        <v>46107</v>
      </c>
      <c r="F141" t="s">
        <v>502</v>
      </c>
      <c r="G141">
        <v>147</v>
      </c>
    </row>
    <row r="142" spans="1:7" x14ac:dyDescent="0.25">
      <c r="A142" t="s">
        <v>648</v>
      </c>
      <c r="B142" t="s">
        <v>193</v>
      </c>
      <c r="C142" t="s">
        <v>491</v>
      </c>
      <c r="D142" t="s">
        <v>585</v>
      </c>
      <c r="E142" s="2">
        <v>46099</v>
      </c>
      <c r="F142" t="s">
        <v>506</v>
      </c>
      <c r="G142">
        <v>124</v>
      </c>
    </row>
    <row r="143" spans="1:7" x14ac:dyDescent="0.25">
      <c r="A143" t="s">
        <v>649</v>
      </c>
      <c r="B143" t="s">
        <v>105</v>
      </c>
      <c r="C143" t="s">
        <v>495</v>
      </c>
      <c r="D143" t="s">
        <v>498</v>
      </c>
      <c r="E143" s="2">
        <v>46099</v>
      </c>
      <c r="F143" t="s">
        <v>502</v>
      </c>
      <c r="G143">
        <v>225</v>
      </c>
    </row>
    <row r="144" spans="1:7" x14ac:dyDescent="0.25">
      <c r="A144" t="s">
        <v>650</v>
      </c>
      <c r="B144" t="s">
        <v>209</v>
      </c>
      <c r="C144" t="s">
        <v>504</v>
      </c>
      <c r="D144" t="s">
        <v>515</v>
      </c>
      <c r="E144" s="2">
        <v>46097</v>
      </c>
      <c r="F144" t="s">
        <v>502</v>
      </c>
      <c r="G144">
        <v>91</v>
      </c>
    </row>
    <row r="145" spans="1:7" x14ac:dyDescent="0.25">
      <c r="A145" t="s">
        <v>651</v>
      </c>
      <c r="B145" t="s">
        <v>166</v>
      </c>
      <c r="C145" t="s">
        <v>491</v>
      </c>
      <c r="D145" t="s">
        <v>498</v>
      </c>
      <c r="E145" s="2">
        <v>46086</v>
      </c>
      <c r="F145" t="s">
        <v>506</v>
      </c>
      <c r="G145">
        <v>165</v>
      </c>
    </row>
    <row r="146" spans="1:7" x14ac:dyDescent="0.25">
      <c r="A146" t="s">
        <v>652</v>
      </c>
      <c r="B146" t="s">
        <v>96</v>
      </c>
      <c r="C146" t="s">
        <v>491</v>
      </c>
      <c r="D146" t="s">
        <v>515</v>
      </c>
      <c r="E146" s="2">
        <v>46082</v>
      </c>
      <c r="F146" t="s">
        <v>502</v>
      </c>
      <c r="G146">
        <v>130</v>
      </c>
    </row>
    <row r="147" spans="1:7" x14ac:dyDescent="0.25">
      <c r="A147" t="s">
        <v>653</v>
      </c>
      <c r="B147" t="s">
        <v>33</v>
      </c>
      <c r="C147" t="s">
        <v>495</v>
      </c>
      <c r="D147" t="s">
        <v>585</v>
      </c>
      <c r="E147" s="2">
        <v>46088</v>
      </c>
      <c r="F147" t="s">
        <v>502</v>
      </c>
      <c r="G147">
        <v>252</v>
      </c>
    </row>
    <row r="148" spans="1:7" x14ac:dyDescent="0.25">
      <c r="A148" t="s">
        <v>654</v>
      </c>
      <c r="B148" t="s">
        <v>107</v>
      </c>
      <c r="C148" t="s">
        <v>504</v>
      </c>
      <c r="D148" t="s">
        <v>521</v>
      </c>
      <c r="E148" s="2">
        <v>46107</v>
      </c>
      <c r="F148" t="s">
        <v>493</v>
      </c>
      <c r="G148">
        <v>128</v>
      </c>
    </row>
    <row r="149" spans="1:7" x14ac:dyDescent="0.25">
      <c r="A149" t="s">
        <v>655</v>
      </c>
      <c r="B149" t="s">
        <v>88</v>
      </c>
      <c r="C149" t="s">
        <v>491</v>
      </c>
      <c r="D149" t="s">
        <v>515</v>
      </c>
      <c r="E149" s="2">
        <v>46110</v>
      </c>
      <c r="F149" t="s">
        <v>502</v>
      </c>
      <c r="G149">
        <v>147</v>
      </c>
    </row>
    <row r="150" spans="1:7" x14ac:dyDescent="0.25">
      <c r="A150" t="s">
        <v>656</v>
      </c>
      <c r="B150" t="s">
        <v>96</v>
      </c>
      <c r="C150" t="s">
        <v>495</v>
      </c>
      <c r="D150" t="s">
        <v>492</v>
      </c>
      <c r="E150" s="2">
        <v>46105</v>
      </c>
      <c r="F150" t="s">
        <v>493</v>
      </c>
      <c r="G150">
        <v>95</v>
      </c>
    </row>
    <row r="151" spans="1:7" x14ac:dyDescent="0.25">
      <c r="A151" t="s">
        <v>657</v>
      </c>
      <c r="B151" t="s">
        <v>87</v>
      </c>
      <c r="C151" t="s">
        <v>497</v>
      </c>
      <c r="D151" t="s">
        <v>508</v>
      </c>
      <c r="E151" s="2">
        <v>46087</v>
      </c>
      <c r="F151" t="s">
        <v>502</v>
      </c>
      <c r="G151">
        <v>266</v>
      </c>
    </row>
    <row r="152" spans="1:7" x14ac:dyDescent="0.25">
      <c r="A152" t="s">
        <v>658</v>
      </c>
      <c r="B152" t="s">
        <v>119</v>
      </c>
      <c r="C152" t="s">
        <v>491</v>
      </c>
      <c r="D152" t="s">
        <v>585</v>
      </c>
      <c r="E152" s="2">
        <v>46092</v>
      </c>
      <c r="F152" t="s">
        <v>506</v>
      </c>
      <c r="G152">
        <v>184</v>
      </c>
    </row>
    <row r="153" spans="1:7" x14ac:dyDescent="0.25">
      <c r="A153" t="s">
        <v>659</v>
      </c>
      <c r="B153" t="s">
        <v>111</v>
      </c>
      <c r="C153" t="s">
        <v>491</v>
      </c>
      <c r="D153" t="s">
        <v>523</v>
      </c>
      <c r="E153" s="2">
        <v>46109</v>
      </c>
      <c r="F153" t="s">
        <v>506</v>
      </c>
      <c r="G153">
        <v>280</v>
      </c>
    </row>
    <row r="154" spans="1:7" x14ac:dyDescent="0.25">
      <c r="A154" t="s">
        <v>660</v>
      </c>
      <c r="B154" t="s">
        <v>113</v>
      </c>
      <c r="C154" t="s">
        <v>491</v>
      </c>
      <c r="D154" t="s">
        <v>498</v>
      </c>
      <c r="E154" s="2">
        <v>46105</v>
      </c>
      <c r="F154" t="s">
        <v>502</v>
      </c>
      <c r="G154">
        <v>217</v>
      </c>
    </row>
    <row r="155" spans="1:7" x14ac:dyDescent="0.25">
      <c r="A155" t="s">
        <v>661</v>
      </c>
      <c r="B155" t="s">
        <v>164</v>
      </c>
      <c r="C155" t="s">
        <v>497</v>
      </c>
      <c r="D155" t="s">
        <v>498</v>
      </c>
      <c r="E155" s="2">
        <v>46108</v>
      </c>
      <c r="F155" t="s">
        <v>502</v>
      </c>
      <c r="G155">
        <v>226</v>
      </c>
    </row>
    <row r="156" spans="1:7" x14ac:dyDescent="0.25">
      <c r="A156" t="s">
        <v>662</v>
      </c>
      <c r="B156" t="s">
        <v>170</v>
      </c>
      <c r="C156" t="s">
        <v>495</v>
      </c>
      <c r="D156" t="s">
        <v>512</v>
      </c>
      <c r="E156" s="2">
        <v>46098</v>
      </c>
      <c r="F156" t="s">
        <v>506</v>
      </c>
      <c r="G156">
        <v>247</v>
      </c>
    </row>
    <row r="157" spans="1:7" x14ac:dyDescent="0.25">
      <c r="A157" t="s">
        <v>663</v>
      </c>
      <c r="B157" t="s">
        <v>105</v>
      </c>
      <c r="C157" t="s">
        <v>500</v>
      </c>
      <c r="D157" t="s">
        <v>501</v>
      </c>
      <c r="E157" s="2">
        <v>46102</v>
      </c>
      <c r="F157" t="s">
        <v>506</v>
      </c>
      <c r="G157">
        <v>107</v>
      </c>
    </row>
    <row r="158" spans="1:7" x14ac:dyDescent="0.25">
      <c r="A158" t="s">
        <v>664</v>
      </c>
      <c r="B158" t="s">
        <v>66</v>
      </c>
      <c r="C158" t="s">
        <v>495</v>
      </c>
      <c r="D158" t="s">
        <v>521</v>
      </c>
      <c r="E158" s="2">
        <v>46083</v>
      </c>
      <c r="F158" t="s">
        <v>493</v>
      </c>
      <c r="G158">
        <v>163</v>
      </c>
    </row>
    <row r="159" spans="1:7" x14ac:dyDescent="0.25">
      <c r="A159" t="s">
        <v>665</v>
      </c>
      <c r="B159" t="s">
        <v>141</v>
      </c>
      <c r="C159" t="s">
        <v>504</v>
      </c>
      <c r="D159" t="s">
        <v>501</v>
      </c>
      <c r="E159" s="2">
        <v>46087</v>
      </c>
      <c r="F159" t="s">
        <v>493</v>
      </c>
      <c r="G159">
        <v>193</v>
      </c>
    </row>
    <row r="160" spans="1:7" x14ac:dyDescent="0.25">
      <c r="A160" t="s">
        <v>666</v>
      </c>
      <c r="B160" t="s">
        <v>154</v>
      </c>
      <c r="C160" t="s">
        <v>497</v>
      </c>
      <c r="D160" t="s">
        <v>512</v>
      </c>
      <c r="E160" s="2">
        <v>46109</v>
      </c>
      <c r="F160" t="s">
        <v>493</v>
      </c>
      <c r="G160">
        <v>226</v>
      </c>
    </row>
    <row r="161" spans="1:7" x14ac:dyDescent="0.25">
      <c r="A161" t="s">
        <v>667</v>
      </c>
      <c r="B161" t="s">
        <v>43</v>
      </c>
      <c r="C161" t="s">
        <v>497</v>
      </c>
      <c r="D161" t="s">
        <v>498</v>
      </c>
      <c r="E161" s="2">
        <v>46088</v>
      </c>
      <c r="F161" t="s">
        <v>502</v>
      </c>
      <c r="G161">
        <v>66</v>
      </c>
    </row>
    <row r="162" spans="1:7" x14ac:dyDescent="0.25">
      <c r="A162" t="s">
        <v>668</v>
      </c>
      <c r="B162" t="s">
        <v>93</v>
      </c>
      <c r="C162" t="s">
        <v>491</v>
      </c>
      <c r="D162" t="s">
        <v>523</v>
      </c>
      <c r="E162" s="2">
        <v>46082</v>
      </c>
      <c r="F162" t="s">
        <v>502</v>
      </c>
      <c r="G162">
        <v>153</v>
      </c>
    </row>
    <row r="163" spans="1:7" x14ac:dyDescent="0.25">
      <c r="A163" t="s">
        <v>669</v>
      </c>
      <c r="B163" t="s">
        <v>144</v>
      </c>
      <c r="C163" t="s">
        <v>497</v>
      </c>
      <c r="D163" t="s">
        <v>585</v>
      </c>
      <c r="E163" s="2">
        <v>46107</v>
      </c>
      <c r="F163" t="s">
        <v>502</v>
      </c>
      <c r="G163">
        <v>104</v>
      </c>
    </row>
    <row r="164" spans="1:7" x14ac:dyDescent="0.25">
      <c r="A164" t="s">
        <v>670</v>
      </c>
      <c r="B164" t="s">
        <v>186</v>
      </c>
      <c r="C164" t="s">
        <v>504</v>
      </c>
      <c r="D164" t="s">
        <v>521</v>
      </c>
      <c r="E164" s="2">
        <v>46085</v>
      </c>
      <c r="F164" t="s">
        <v>506</v>
      </c>
      <c r="G164">
        <v>137</v>
      </c>
    </row>
    <row r="165" spans="1:7" x14ac:dyDescent="0.25">
      <c r="A165" t="s">
        <v>671</v>
      </c>
      <c r="B165" t="s">
        <v>96</v>
      </c>
      <c r="C165" t="s">
        <v>495</v>
      </c>
      <c r="D165" t="s">
        <v>492</v>
      </c>
      <c r="E165" s="2">
        <v>46090</v>
      </c>
      <c r="F165" t="s">
        <v>506</v>
      </c>
      <c r="G165">
        <v>234</v>
      </c>
    </row>
    <row r="166" spans="1:7" x14ac:dyDescent="0.25">
      <c r="A166" t="s">
        <v>672</v>
      </c>
      <c r="B166" t="s">
        <v>164</v>
      </c>
      <c r="C166" t="s">
        <v>500</v>
      </c>
      <c r="D166" t="s">
        <v>508</v>
      </c>
      <c r="E166" s="2">
        <v>46102</v>
      </c>
      <c r="F166" t="s">
        <v>506</v>
      </c>
      <c r="G166">
        <v>99</v>
      </c>
    </row>
    <row r="167" spans="1:7" x14ac:dyDescent="0.25">
      <c r="A167" t="s">
        <v>673</v>
      </c>
      <c r="B167" t="s">
        <v>173</v>
      </c>
      <c r="C167" t="s">
        <v>495</v>
      </c>
      <c r="D167" t="s">
        <v>512</v>
      </c>
      <c r="E167" s="2">
        <v>46099</v>
      </c>
      <c r="F167" t="s">
        <v>506</v>
      </c>
      <c r="G167">
        <v>173</v>
      </c>
    </row>
    <row r="168" spans="1:7" x14ac:dyDescent="0.25">
      <c r="A168" t="s">
        <v>674</v>
      </c>
      <c r="B168" t="s">
        <v>209</v>
      </c>
      <c r="C168" t="s">
        <v>497</v>
      </c>
      <c r="D168" t="s">
        <v>498</v>
      </c>
      <c r="E168" s="2">
        <v>46111</v>
      </c>
      <c r="F168" t="s">
        <v>506</v>
      </c>
      <c r="G168">
        <v>295</v>
      </c>
    </row>
    <row r="169" spans="1:7" x14ac:dyDescent="0.25">
      <c r="A169" t="s">
        <v>675</v>
      </c>
      <c r="B169" t="s">
        <v>40</v>
      </c>
      <c r="C169" t="s">
        <v>495</v>
      </c>
      <c r="D169" t="s">
        <v>585</v>
      </c>
      <c r="E169" s="2">
        <v>46084</v>
      </c>
      <c r="F169" t="s">
        <v>493</v>
      </c>
      <c r="G169">
        <v>254</v>
      </c>
    </row>
    <row r="170" spans="1:7" x14ac:dyDescent="0.25">
      <c r="A170" t="s">
        <v>676</v>
      </c>
      <c r="B170" t="s">
        <v>171</v>
      </c>
      <c r="C170" t="s">
        <v>500</v>
      </c>
      <c r="D170" t="s">
        <v>508</v>
      </c>
      <c r="E170" s="2">
        <v>46106</v>
      </c>
      <c r="F170" t="s">
        <v>502</v>
      </c>
      <c r="G170">
        <v>251</v>
      </c>
    </row>
    <row r="171" spans="1:7" x14ac:dyDescent="0.25">
      <c r="A171" t="s">
        <v>677</v>
      </c>
      <c r="B171" t="s">
        <v>125</v>
      </c>
      <c r="C171" t="s">
        <v>504</v>
      </c>
      <c r="D171" t="s">
        <v>501</v>
      </c>
      <c r="E171" s="2">
        <v>46098</v>
      </c>
      <c r="F171" t="s">
        <v>493</v>
      </c>
      <c r="G171">
        <v>135</v>
      </c>
    </row>
    <row r="172" spans="1:7" x14ac:dyDescent="0.25">
      <c r="A172" t="s">
        <v>678</v>
      </c>
      <c r="B172" t="s">
        <v>78</v>
      </c>
      <c r="C172" t="s">
        <v>495</v>
      </c>
      <c r="D172" t="s">
        <v>501</v>
      </c>
      <c r="E172" s="2">
        <v>46102</v>
      </c>
      <c r="F172" t="s">
        <v>506</v>
      </c>
      <c r="G172">
        <v>279</v>
      </c>
    </row>
    <row r="173" spans="1:7" x14ac:dyDescent="0.25">
      <c r="A173" t="s">
        <v>679</v>
      </c>
      <c r="B173" t="s">
        <v>129</v>
      </c>
      <c r="C173" t="s">
        <v>504</v>
      </c>
      <c r="D173" t="s">
        <v>498</v>
      </c>
      <c r="E173" s="2">
        <v>46105</v>
      </c>
      <c r="F173" t="s">
        <v>493</v>
      </c>
      <c r="G173">
        <v>228</v>
      </c>
    </row>
    <row r="174" spans="1:7" x14ac:dyDescent="0.25">
      <c r="A174" t="s">
        <v>680</v>
      </c>
      <c r="B174" t="s">
        <v>161</v>
      </c>
      <c r="C174" t="s">
        <v>500</v>
      </c>
      <c r="D174" t="s">
        <v>508</v>
      </c>
      <c r="E174" s="2">
        <v>46109</v>
      </c>
      <c r="F174" t="s">
        <v>506</v>
      </c>
      <c r="G174">
        <v>107</v>
      </c>
    </row>
    <row r="175" spans="1:7" x14ac:dyDescent="0.25">
      <c r="A175" t="s">
        <v>681</v>
      </c>
      <c r="B175" t="s">
        <v>175</v>
      </c>
      <c r="C175" t="s">
        <v>500</v>
      </c>
      <c r="D175" t="s">
        <v>492</v>
      </c>
      <c r="E175" s="2">
        <v>46105</v>
      </c>
      <c r="F175" t="s">
        <v>493</v>
      </c>
      <c r="G175">
        <v>87</v>
      </c>
    </row>
    <row r="176" spans="1:7" x14ac:dyDescent="0.25">
      <c r="A176" t="s">
        <v>682</v>
      </c>
      <c r="B176" t="s">
        <v>164</v>
      </c>
      <c r="C176" t="s">
        <v>495</v>
      </c>
      <c r="D176" t="s">
        <v>521</v>
      </c>
      <c r="E176" s="2">
        <v>46110</v>
      </c>
      <c r="F176" t="s">
        <v>493</v>
      </c>
      <c r="G176">
        <v>127</v>
      </c>
    </row>
    <row r="177" spans="1:7" x14ac:dyDescent="0.25">
      <c r="A177" t="s">
        <v>683</v>
      </c>
      <c r="B177" t="s">
        <v>102</v>
      </c>
      <c r="C177" t="s">
        <v>491</v>
      </c>
      <c r="D177" t="s">
        <v>521</v>
      </c>
      <c r="E177" s="2">
        <v>46094</v>
      </c>
      <c r="F177" t="s">
        <v>502</v>
      </c>
      <c r="G177">
        <v>129</v>
      </c>
    </row>
    <row r="178" spans="1:7" x14ac:dyDescent="0.25">
      <c r="A178" t="s">
        <v>684</v>
      </c>
      <c r="B178" t="s">
        <v>160</v>
      </c>
      <c r="C178" t="s">
        <v>497</v>
      </c>
      <c r="D178" t="s">
        <v>523</v>
      </c>
      <c r="E178" s="2">
        <v>46092</v>
      </c>
      <c r="F178" t="s">
        <v>502</v>
      </c>
      <c r="G178">
        <v>144</v>
      </c>
    </row>
    <row r="179" spans="1:7" x14ac:dyDescent="0.25">
      <c r="A179" t="s">
        <v>685</v>
      </c>
      <c r="B179" t="s">
        <v>33</v>
      </c>
      <c r="C179" t="s">
        <v>495</v>
      </c>
      <c r="D179" t="s">
        <v>518</v>
      </c>
      <c r="E179" s="2">
        <v>46106</v>
      </c>
      <c r="F179" t="s">
        <v>502</v>
      </c>
      <c r="G179">
        <v>114</v>
      </c>
    </row>
    <row r="180" spans="1:7" x14ac:dyDescent="0.25">
      <c r="A180" t="s">
        <v>686</v>
      </c>
      <c r="B180" t="s">
        <v>140</v>
      </c>
      <c r="C180" t="s">
        <v>504</v>
      </c>
      <c r="D180" t="s">
        <v>518</v>
      </c>
      <c r="E180" s="2">
        <v>46085</v>
      </c>
      <c r="F180" t="s">
        <v>506</v>
      </c>
      <c r="G180">
        <v>238</v>
      </c>
    </row>
    <row r="181" spans="1:7" x14ac:dyDescent="0.25">
      <c r="A181" t="s">
        <v>687</v>
      </c>
      <c r="B181" t="s">
        <v>195</v>
      </c>
      <c r="C181" t="s">
        <v>497</v>
      </c>
      <c r="D181" t="s">
        <v>523</v>
      </c>
      <c r="E181" s="2">
        <v>46099</v>
      </c>
      <c r="F181" t="s">
        <v>502</v>
      </c>
      <c r="G181">
        <v>199</v>
      </c>
    </row>
    <row r="182" spans="1:7" x14ac:dyDescent="0.25">
      <c r="A182" t="s">
        <v>688</v>
      </c>
      <c r="B182" t="s">
        <v>149</v>
      </c>
      <c r="C182" t="s">
        <v>504</v>
      </c>
      <c r="D182" t="s">
        <v>518</v>
      </c>
      <c r="E182" s="2">
        <v>46110</v>
      </c>
      <c r="F182" t="s">
        <v>502</v>
      </c>
      <c r="G182">
        <v>202</v>
      </c>
    </row>
    <row r="183" spans="1:7" x14ac:dyDescent="0.25">
      <c r="A183" t="s">
        <v>689</v>
      </c>
      <c r="B183" t="s">
        <v>203</v>
      </c>
      <c r="C183" t="s">
        <v>491</v>
      </c>
      <c r="D183" t="s">
        <v>501</v>
      </c>
      <c r="E183" s="2">
        <v>46084</v>
      </c>
      <c r="F183" t="s">
        <v>506</v>
      </c>
      <c r="G183">
        <v>114</v>
      </c>
    </row>
    <row r="184" spans="1:7" x14ac:dyDescent="0.25">
      <c r="A184" t="s">
        <v>690</v>
      </c>
      <c r="B184" t="s">
        <v>89</v>
      </c>
      <c r="C184" t="s">
        <v>497</v>
      </c>
      <c r="D184" t="s">
        <v>585</v>
      </c>
      <c r="E184" s="2">
        <v>46105</v>
      </c>
      <c r="F184" t="s">
        <v>493</v>
      </c>
      <c r="G184">
        <v>227</v>
      </c>
    </row>
    <row r="185" spans="1:7" x14ac:dyDescent="0.25">
      <c r="A185" t="s">
        <v>691</v>
      </c>
      <c r="B185" t="s">
        <v>199</v>
      </c>
      <c r="C185" t="s">
        <v>504</v>
      </c>
      <c r="D185" t="s">
        <v>585</v>
      </c>
      <c r="E185" s="2">
        <v>46110</v>
      </c>
      <c r="F185" t="s">
        <v>493</v>
      </c>
      <c r="G185">
        <v>159</v>
      </c>
    </row>
    <row r="186" spans="1:7" x14ac:dyDescent="0.25">
      <c r="A186" t="s">
        <v>692</v>
      </c>
      <c r="B186" t="s">
        <v>141</v>
      </c>
      <c r="C186" t="s">
        <v>497</v>
      </c>
      <c r="D186" t="s">
        <v>498</v>
      </c>
      <c r="E186" s="2">
        <v>46096</v>
      </c>
      <c r="F186" t="s">
        <v>502</v>
      </c>
      <c r="G186">
        <v>115</v>
      </c>
    </row>
    <row r="187" spans="1:7" x14ac:dyDescent="0.25">
      <c r="A187" t="s">
        <v>693</v>
      </c>
      <c r="B187" t="s">
        <v>132</v>
      </c>
      <c r="C187" t="s">
        <v>504</v>
      </c>
      <c r="D187" t="s">
        <v>518</v>
      </c>
      <c r="E187" s="2">
        <v>46100</v>
      </c>
      <c r="F187" t="s">
        <v>502</v>
      </c>
      <c r="G187">
        <v>239</v>
      </c>
    </row>
    <row r="188" spans="1:7" x14ac:dyDescent="0.25">
      <c r="A188" t="s">
        <v>694</v>
      </c>
      <c r="B188" t="s">
        <v>125</v>
      </c>
      <c r="C188" t="s">
        <v>495</v>
      </c>
      <c r="D188" t="s">
        <v>498</v>
      </c>
      <c r="E188" s="2">
        <v>46091</v>
      </c>
      <c r="F188" t="s">
        <v>502</v>
      </c>
      <c r="G188">
        <v>116</v>
      </c>
    </row>
    <row r="189" spans="1:7" x14ac:dyDescent="0.25">
      <c r="A189" t="s">
        <v>695</v>
      </c>
      <c r="B189" t="s">
        <v>66</v>
      </c>
      <c r="C189" t="s">
        <v>497</v>
      </c>
      <c r="D189" t="s">
        <v>492</v>
      </c>
      <c r="E189" s="2">
        <v>46103</v>
      </c>
      <c r="F189" t="s">
        <v>502</v>
      </c>
      <c r="G189">
        <v>79</v>
      </c>
    </row>
    <row r="190" spans="1:7" x14ac:dyDescent="0.25">
      <c r="A190" t="s">
        <v>696</v>
      </c>
      <c r="B190" t="s">
        <v>123</v>
      </c>
      <c r="C190" t="s">
        <v>495</v>
      </c>
      <c r="D190" t="s">
        <v>512</v>
      </c>
      <c r="E190" s="2">
        <v>46108</v>
      </c>
      <c r="F190" t="s">
        <v>493</v>
      </c>
      <c r="G190">
        <v>185</v>
      </c>
    </row>
    <row r="191" spans="1:7" x14ac:dyDescent="0.25">
      <c r="A191" t="s">
        <v>697</v>
      </c>
      <c r="B191" t="s">
        <v>157</v>
      </c>
      <c r="C191" t="s">
        <v>497</v>
      </c>
      <c r="D191" t="s">
        <v>515</v>
      </c>
      <c r="E191" s="2">
        <v>46092</v>
      </c>
      <c r="F191" t="s">
        <v>506</v>
      </c>
      <c r="G191">
        <v>174</v>
      </c>
    </row>
    <row r="192" spans="1:7" x14ac:dyDescent="0.25">
      <c r="A192" t="s">
        <v>698</v>
      </c>
      <c r="B192" t="s">
        <v>198</v>
      </c>
      <c r="C192" t="s">
        <v>497</v>
      </c>
      <c r="D192" t="s">
        <v>492</v>
      </c>
      <c r="E192" s="2">
        <v>46097</v>
      </c>
      <c r="F192" t="s">
        <v>502</v>
      </c>
      <c r="G192">
        <v>270</v>
      </c>
    </row>
    <row r="193" spans="1:7" x14ac:dyDescent="0.25">
      <c r="A193" t="s">
        <v>699</v>
      </c>
      <c r="B193" t="s">
        <v>9</v>
      </c>
      <c r="C193" t="s">
        <v>497</v>
      </c>
      <c r="D193" t="s">
        <v>585</v>
      </c>
      <c r="E193" s="2">
        <v>46097</v>
      </c>
      <c r="F193" t="s">
        <v>506</v>
      </c>
      <c r="G193">
        <v>54</v>
      </c>
    </row>
    <row r="194" spans="1:7" x14ac:dyDescent="0.25">
      <c r="A194" t="s">
        <v>700</v>
      </c>
      <c r="B194" t="s">
        <v>75</v>
      </c>
      <c r="C194" t="s">
        <v>491</v>
      </c>
      <c r="D194" t="s">
        <v>521</v>
      </c>
      <c r="E194" s="2">
        <v>46108</v>
      </c>
      <c r="F194" t="s">
        <v>506</v>
      </c>
      <c r="G194">
        <v>253</v>
      </c>
    </row>
    <row r="195" spans="1:7" x14ac:dyDescent="0.25">
      <c r="A195" t="s">
        <v>701</v>
      </c>
      <c r="B195" t="s">
        <v>161</v>
      </c>
      <c r="C195" t="s">
        <v>495</v>
      </c>
      <c r="D195" t="s">
        <v>501</v>
      </c>
      <c r="E195" s="2">
        <v>46104</v>
      </c>
      <c r="F195" t="s">
        <v>506</v>
      </c>
      <c r="G195">
        <v>177</v>
      </c>
    </row>
    <row r="196" spans="1:7" x14ac:dyDescent="0.25">
      <c r="A196" t="s">
        <v>702</v>
      </c>
      <c r="B196" t="s">
        <v>127</v>
      </c>
      <c r="C196" t="s">
        <v>491</v>
      </c>
      <c r="D196" t="s">
        <v>512</v>
      </c>
      <c r="E196" s="2">
        <v>46101</v>
      </c>
      <c r="F196" t="s">
        <v>493</v>
      </c>
      <c r="G196">
        <v>220</v>
      </c>
    </row>
    <row r="197" spans="1:7" x14ac:dyDescent="0.25">
      <c r="A197" t="s">
        <v>703</v>
      </c>
      <c r="B197" t="s">
        <v>146</v>
      </c>
      <c r="C197" t="s">
        <v>500</v>
      </c>
      <c r="D197" t="s">
        <v>498</v>
      </c>
      <c r="E197" s="2">
        <v>46103</v>
      </c>
      <c r="F197" t="s">
        <v>506</v>
      </c>
      <c r="G197">
        <v>104</v>
      </c>
    </row>
    <row r="198" spans="1:7" x14ac:dyDescent="0.25">
      <c r="A198" t="s">
        <v>704</v>
      </c>
      <c r="B198" t="s">
        <v>188</v>
      </c>
      <c r="C198" t="s">
        <v>491</v>
      </c>
      <c r="D198" t="s">
        <v>508</v>
      </c>
      <c r="E198" s="2">
        <v>46101</v>
      </c>
      <c r="F198" t="s">
        <v>502</v>
      </c>
      <c r="G198">
        <v>228</v>
      </c>
    </row>
    <row r="199" spans="1:7" x14ac:dyDescent="0.25">
      <c r="A199" t="s">
        <v>705</v>
      </c>
      <c r="B199" t="s">
        <v>151</v>
      </c>
      <c r="C199" t="s">
        <v>500</v>
      </c>
      <c r="D199" t="s">
        <v>512</v>
      </c>
      <c r="E199" s="2">
        <v>46110</v>
      </c>
      <c r="F199" t="s">
        <v>493</v>
      </c>
      <c r="G199">
        <v>174</v>
      </c>
    </row>
    <row r="200" spans="1:7" x14ac:dyDescent="0.25">
      <c r="A200" t="s">
        <v>706</v>
      </c>
      <c r="B200" t="s">
        <v>159</v>
      </c>
      <c r="C200" t="s">
        <v>491</v>
      </c>
      <c r="D200" t="s">
        <v>492</v>
      </c>
      <c r="E200" s="2">
        <v>46096</v>
      </c>
      <c r="F200" t="s">
        <v>493</v>
      </c>
      <c r="G200">
        <v>80</v>
      </c>
    </row>
    <row r="201" spans="1:7" x14ac:dyDescent="0.25">
      <c r="A201" t="s">
        <v>707</v>
      </c>
      <c r="B201" t="s">
        <v>145</v>
      </c>
      <c r="C201" t="s">
        <v>491</v>
      </c>
      <c r="D201" t="s">
        <v>508</v>
      </c>
      <c r="E201" s="2">
        <v>46087</v>
      </c>
      <c r="F201" t="s">
        <v>493</v>
      </c>
      <c r="G201">
        <v>79</v>
      </c>
    </row>
    <row r="202" spans="1:7" x14ac:dyDescent="0.25">
      <c r="A202" t="s">
        <v>708</v>
      </c>
      <c r="B202" t="s">
        <v>103</v>
      </c>
      <c r="C202" t="s">
        <v>491</v>
      </c>
      <c r="D202" t="s">
        <v>512</v>
      </c>
      <c r="E202" s="2">
        <v>46087</v>
      </c>
      <c r="F202" t="s">
        <v>502</v>
      </c>
      <c r="G202">
        <v>233</v>
      </c>
    </row>
    <row r="203" spans="1:7" x14ac:dyDescent="0.25">
      <c r="A203" t="s">
        <v>709</v>
      </c>
      <c r="B203" t="s">
        <v>26</v>
      </c>
      <c r="C203" t="s">
        <v>495</v>
      </c>
      <c r="D203" t="s">
        <v>498</v>
      </c>
      <c r="E203" s="2">
        <v>46104</v>
      </c>
      <c r="F203" t="s">
        <v>493</v>
      </c>
      <c r="G203">
        <v>133</v>
      </c>
    </row>
    <row r="204" spans="1:7" x14ac:dyDescent="0.25">
      <c r="A204" t="s">
        <v>710</v>
      </c>
      <c r="B204" t="s">
        <v>91</v>
      </c>
      <c r="C204" t="s">
        <v>491</v>
      </c>
      <c r="D204" t="s">
        <v>508</v>
      </c>
      <c r="E204" s="2">
        <v>46085</v>
      </c>
      <c r="F204" t="s">
        <v>493</v>
      </c>
      <c r="G204">
        <v>119</v>
      </c>
    </row>
    <row r="205" spans="1:7" x14ac:dyDescent="0.25">
      <c r="A205" t="s">
        <v>711</v>
      </c>
      <c r="B205" t="s">
        <v>75</v>
      </c>
      <c r="C205" t="s">
        <v>495</v>
      </c>
      <c r="D205" t="s">
        <v>512</v>
      </c>
      <c r="E205" s="2">
        <v>46091</v>
      </c>
      <c r="F205" t="s">
        <v>493</v>
      </c>
      <c r="G205">
        <v>145</v>
      </c>
    </row>
    <row r="206" spans="1:7" x14ac:dyDescent="0.25">
      <c r="A206" t="s">
        <v>712</v>
      </c>
      <c r="B206" t="s">
        <v>61</v>
      </c>
      <c r="C206" t="s">
        <v>495</v>
      </c>
      <c r="D206" t="s">
        <v>585</v>
      </c>
      <c r="E206" s="2">
        <v>46108</v>
      </c>
      <c r="F206" t="s">
        <v>506</v>
      </c>
      <c r="G206">
        <v>268</v>
      </c>
    </row>
    <row r="207" spans="1:7" x14ac:dyDescent="0.25">
      <c r="A207" t="s">
        <v>713</v>
      </c>
      <c r="B207" t="s">
        <v>151</v>
      </c>
      <c r="C207" t="s">
        <v>497</v>
      </c>
      <c r="D207" t="s">
        <v>523</v>
      </c>
      <c r="E207" s="2">
        <v>46085</v>
      </c>
      <c r="F207" t="s">
        <v>493</v>
      </c>
      <c r="G207">
        <v>85</v>
      </c>
    </row>
    <row r="208" spans="1:7" x14ac:dyDescent="0.25">
      <c r="A208" t="s">
        <v>714</v>
      </c>
      <c r="B208" t="s">
        <v>43</v>
      </c>
      <c r="C208" t="s">
        <v>500</v>
      </c>
      <c r="D208" t="s">
        <v>508</v>
      </c>
      <c r="E208" s="2">
        <v>46103</v>
      </c>
      <c r="F208" t="s">
        <v>493</v>
      </c>
      <c r="G208">
        <v>81</v>
      </c>
    </row>
    <row r="209" spans="1:7" x14ac:dyDescent="0.25">
      <c r="A209" t="s">
        <v>715</v>
      </c>
      <c r="B209" t="s">
        <v>43</v>
      </c>
      <c r="C209" t="s">
        <v>497</v>
      </c>
      <c r="D209" t="s">
        <v>515</v>
      </c>
      <c r="E209" s="2">
        <v>46094</v>
      </c>
      <c r="F209" t="s">
        <v>502</v>
      </c>
      <c r="G209">
        <v>134</v>
      </c>
    </row>
    <row r="210" spans="1:7" x14ac:dyDescent="0.25">
      <c r="A210" t="s">
        <v>716</v>
      </c>
      <c r="B210" t="s">
        <v>138</v>
      </c>
      <c r="C210" t="s">
        <v>504</v>
      </c>
      <c r="D210" t="s">
        <v>492</v>
      </c>
      <c r="E210" s="2">
        <v>46091</v>
      </c>
      <c r="F210" t="s">
        <v>506</v>
      </c>
      <c r="G210">
        <v>226</v>
      </c>
    </row>
    <row r="211" spans="1:7" x14ac:dyDescent="0.25">
      <c r="A211" t="s">
        <v>717</v>
      </c>
      <c r="B211" t="s">
        <v>204</v>
      </c>
      <c r="C211" t="s">
        <v>504</v>
      </c>
      <c r="D211" t="s">
        <v>523</v>
      </c>
      <c r="E211" s="2">
        <v>46089</v>
      </c>
      <c r="F211" t="s">
        <v>502</v>
      </c>
      <c r="G211">
        <v>72</v>
      </c>
    </row>
    <row r="212" spans="1:7" x14ac:dyDescent="0.25">
      <c r="A212" t="s">
        <v>718</v>
      </c>
      <c r="B212" t="s">
        <v>26</v>
      </c>
      <c r="C212" t="s">
        <v>497</v>
      </c>
      <c r="D212" t="s">
        <v>512</v>
      </c>
      <c r="E212" s="2">
        <v>46089</v>
      </c>
      <c r="F212" t="s">
        <v>493</v>
      </c>
      <c r="G212">
        <v>235</v>
      </c>
    </row>
    <row r="213" spans="1:7" x14ac:dyDescent="0.25">
      <c r="A213" t="s">
        <v>719</v>
      </c>
      <c r="B213" t="s">
        <v>160</v>
      </c>
      <c r="C213" t="s">
        <v>497</v>
      </c>
      <c r="D213" t="s">
        <v>585</v>
      </c>
      <c r="E213" s="2">
        <v>46099</v>
      </c>
      <c r="F213" t="s">
        <v>493</v>
      </c>
      <c r="G213">
        <v>80</v>
      </c>
    </row>
    <row r="214" spans="1:7" x14ac:dyDescent="0.25">
      <c r="A214" t="s">
        <v>720</v>
      </c>
      <c r="B214" t="s">
        <v>87</v>
      </c>
      <c r="C214" t="s">
        <v>497</v>
      </c>
      <c r="D214" t="s">
        <v>521</v>
      </c>
      <c r="E214" s="2">
        <v>46103</v>
      </c>
      <c r="F214" t="s">
        <v>493</v>
      </c>
      <c r="G214">
        <v>66</v>
      </c>
    </row>
    <row r="215" spans="1:7" x14ac:dyDescent="0.25">
      <c r="A215" t="s">
        <v>721</v>
      </c>
      <c r="B215" t="s">
        <v>149</v>
      </c>
      <c r="C215" t="s">
        <v>491</v>
      </c>
      <c r="D215" t="s">
        <v>585</v>
      </c>
      <c r="E215" s="2">
        <v>46104</v>
      </c>
      <c r="F215" t="s">
        <v>502</v>
      </c>
      <c r="G215">
        <v>134</v>
      </c>
    </row>
    <row r="216" spans="1:7" x14ac:dyDescent="0.25">
      <c r="A216" t="s">
        <v>722</v>
      </c>
      <c r="B216" t="s">
        <v>93</v>
      </c>
      <c r="C216" t="s">
        <v>504</v>
      </c>
      <c r="D216" t="s">
        <v>512</v>
      </c>
      <c r="E216" s="2">
        <v>46095</v>
      </c>
      <c r="F216" t="s">
        <v>493</v>
      </c>
      <c r="G216">
        <v>72</v>
      </c>
    </row>
    <row r="217" spans="1:7" x14ac:dyDescent="0.25">
      <c r="A217" t="s">
        <v>723</v>
      </c>
      <c r="B217" t="s">
        <v>61</v>
      </c>
      <c r="C217" t="s">
        <v>504</v>
      </c>
      <c r="D217" t="s">
        <v>498</v>
      </c>
      <c r="E217" s="2">
        <v>46100</v>
      </c>
      <c r="F217" t="s">
        <v>506</v>
      </c>
      <c r="G217">
        <v>226</v>
      </c>
    </row>
    <row r="218" spans="1:7" x14ac:dyDescent="0.25">
      <c r="A218" t="s">
        <v>724</v>
      </c>
      <c r="B218" t="s">
        <v>146</v>
      </c>
      <c r="C218" t="s">
        <v>500</v>
      </c>
      <c r="D218" t="s">
        <v>508</v>
      </c>
      <c r="E218" s="2">
        <v>46090</v>
      </c>
      <c r="F218" t="s">
        <v>502</v>
      </c>
      <c r="G218">
        <v>290</v>
      </c>
    </row>
    <row r="219" spans="1:7" x14ac:dyDescent="0.25">
      <c r="A219" t="s">
        <v>725</v>
      </c>
      <c r="B219" t="s">
        <v>82</v>
      </c>
      <c r="C219" t="s">
        <v>504</v>
      </c>
      <c r="D219" t="s">
        <v>521</v>
      </c>
      <c r="E219" s="2">
        <v>46107</v>
      </c>
      <c r="F219" t="s">
        <v>506</v>
      </c>
      <c r="G219">
        <v>122</v>
      </c>
    </row>
    <row r="220" spans="1:7" x14ac:dyDescent="0.25">
      <c r="A220" t="s">
        <v>726</v>
      </c>
      <c r="B220" t="s">
        <v>143</v>
      </c>
      <c r="C220" t="s">
        <v>491</v>
      </c>
      <c r="D220" t="s">
        <v>515</v>
      </c>
      <c r="E220" s="2">
        <v>46107</v>
      </c>
      <c r="F220" t="s">
        <v>502</v>
      </c>
      <c r="G220">
        <v>229</v>
      </c>
    </row>
    <row r="221" spans="1:7" x14ac:dyDescent="0.25">
      <c r="A221" t="s">
        <v>727</v>
      </c>
      <c r="B221" t="s">
        <v>166</v>
      </c>
      <c r="C221" t="s">
        <v>504</v>
      </c>
      <c r="D221" t="s">
        <v>585</v>
      </c>
      <c r="E221" s="2">
        <v>46109</v>
      </c>
      <c r="F221" t="s">
        <v>493</v>
      </c>
      <c r="G221">
        <v>219</v>
      </c>
    </row>
    <row r="222" spans="1:7" x14ac:dyDescent="0.25">
      <c r="A222" t="s">
        <v>728</v>
      </c>
      <c r="B222" t="s">
        <v>185</v>
      </c>
      <c r="C222" t="s">
        <v>500</v>
      </c>
      <c r="D222" t="s">
        <v>501</v>
      </c>
      <c r="E222" s="2">
        <v>46099</v>
      </c>
      <c r="F222" t="s">
        <v>506</v>
      </c>
      <c r="G222">
        <v>140</v>
      </c>
    </row>
    <row r="223" spans="1:7" x14ac:dyDescent="0.25">
      <c r="A223" t="s">
        <v>729</v>
      </c>
      <c r="B223" t="s">
        <v>180</v>
      </c>
      <c r="C223" t="s">
        <v>500</v>
      </c>
      <c r="D223" t="s">
        <v>515</v>
      </c>
      <c r="E223" s="2">
        <v>46085</v>
      </c>
      <c r="F223" t="s">
        <v>502</v>
      </c>
      <c r="G223">
        <v>152</v>
      </c>
    </row>
    <row r="224" spans="1:7" x14ac:dyDescent="0.25">
      <c r="A224" t="s">
        <v>730</v>
      </c>
      <c r="B224" t="s">
        <v>48</v>
      </c>
      <c r="C224" t="s">
        <v>504</v>
      </c>
      <c r="D224" t="s">
        <v>515</v>
      </c>
      <c r="E224" s="2">
        <v>46099</v>
      </c>
      <c r="F224" t="s">
        <v>502</v>
      </c>
      <c r="G224">
        <v>113</v>
      </c>
    </row>
    <row r="225" spans="1:7" x14ac:dyDescent="0.25">
      <c r="A225" t="s">
        <v>731</v>
      </c>
      <c r="B225" t="s">
        <v>100</v>
      </c>
      <c r="C225" t="s">
        <v>497</v>
      </c>
      <c r="D225" t="s">
        <v>512</v>
      </c>
      <c r="E225" s="2">
        <v>46109</v>
      </c>
      <c r="F225" t="s">
        <v>502</v>
      </c>
      <c r="G225">
        <v>127</v>
      </c>
    </row>
    <row r="226" spans="1:7" x14ac:dyDescent="0.25">
      <c r="A226" t="s">
        <v>732</v>
      </c>
      <c r="B226" t="s">
        <v>16</v>
      </c>
      <c r="C226" t="s">
        <v>495</v>
      </c>
      <c r="D226" t="s">
        <v>523</v>
      </c>
      <c r="E226" s="2">
        <v>46096</v>
      </c>
      <c r="F226" t="s">
        <v>502</v>
      </c>
      <c r="G226">
        <v>228</v>
      </c>
    </row>
    <row r="227" spans="1:7" x14ac:dyDescent="0.25">
      <c r="A227" t="s">
        <v>733</v>
      </c>
      <c r="B227" t="s">
        <v>186</v>
      </c>
      <c r="C227" t="s">
        <v>497</v>
      </c>
      <c r="D227" t="s">
        <v>508</v>
      </c>
      <c r="E227" s="2">
        <v>46090</v>
      </c>
      <c r="F227" t="s">
        <v>506</v>
      </c>
      <c r="G227">
        <v>178</v>
      </c>
    </row>
    <row r="228" spans="1:7" x14ac:dyDescent="0.25">
      <c r="A228" t="s">
        <v>734</v>
      </c>
      <c r="B228" t="s">
        <v>84</v>
      </c>
      <c r="C228" t="s">
        <v>500</v>
      </c>
      <c r="D228" t="s">
        <v>515</v>
      </c>
      <c r="E228" s="2">
        <v>46099</v>
      </c>
      <c r="F228" t="s">
        <v>506</v>
      </c>
      <c r="G228">
        <v>73</v>
      </c>
    </row>
    <row r="229" spans="1:7" x14ac:dyDescent="0.25">
      <c r="A229" t="s">
        <v>735</v>
      </c>
      <c r="B229" t="s">
        <v>200</v>
      </c>
      <c r="C229" t="s">
        <v>497</v>
      </c>
      <c r="D229" t="s">
        <v>515</v>
      </c>
      <c r="E229" s="2">
        <v>46097</v>
      </c>
      <c r="F229" t="s">
        <v>493</v>
      </c>
      <c r="G229">
        <v>270</v>
      </c>
    </row>
    <row r="230" spans="1:7" x14ac:dyDescent="0.25">
      <c r="A230" t="s">
        <v>736</v>
      </c>
      <c r="B230" t="s">
        <v>183</v>
      </c>
      <c r="C230" t="s">
        <v>497</v>
      </c>
      <c r="D230" t="s">
        <v>521</v>
      </c>
      <c r="E230" s="2">
        <v>46087</v>
      </c>
      <c r="F230" t="s">
        <v>502</v>
      </c>
      <c r="G230">
        <v>226</v>
      </c>
    </row>
    <row r="231" spans="1:7" x14ac:dyDescent="0.25">
      <c r="A231" t="s">
        <v>737</v>
      </c>
      <c r="B231" t="s">
        <v>115</v>
      </c>
      <c r="C231" t="s">
        <v>497</v>
      </c>
      <c r="D231" t="s">
        <v>501</v>
      </c>
      <c r="E231" s="2">
        <v>46086</v>
      </c>
      <c r="F231" t="s">
        <v>502</v>
      </c>
      <c r="G231">
        <v>194</v>
      </c>
    </row>
    <row r="232" spans="1:7" x14ac:dyDescent="0.25">
      <c r="A232" t="s">
        <v>738</v>
      </c>
      <c r="B232" t="s">
        <v>95</v>
      </c>
      <c r="C232" t="s">
        <v>495</v>
      </c>
      <c r="D232" t="s">
        <v>492</v>
      </c>
      <c r="E232" s="2">
        <v>46098</v>
      </c>
      <c r="F232" t="s">
        <v>502</v>
      </c>
      <c r="G232">
        <v>201</v>
      </c>
    </row>
    <row r="233" spans="1:7" x14ac:dyDescent="0.25">
      <c r="A233" t="s">
        <v>739</v>
      </c>
      <c r="B233" t="s">
        <v>198</v>
      </c>
      <c r="C233" t="s">
        <v>491</v>
      </c>
      <c r="D233" t="s">
        <v>492</v>
      </c>
      <c r="E233" s="2">
        <v>46084</v>
      </c>
      <c r="F233" t="s">
        <v>506</v>
      </c>
      <c r="G233">
        <v>294</v>
      </c>
    </row>
    <row r="234" spans="1:7" x14ac:dyDescent="0.25">
      <c r="A234" t="s">
        <v>740</v>
      </c>
      <c r="B234" t="s">
        <v>9</v>
      </c>
      <c r="C234" t="s">
        <v>495</v>
      </c>
      <c r="D234" t="s">
        <v>508</v>
      </c>
      <c r="E234" s="2">
        <v>46085</v>
      </c>
      <c r="F234" t="s">
        <v>502</v>
      </c>
      <c r="G234">
        <v>201</v>
      </c>
    </row>
    <row r="235" spans="1:7" x14ac:dyDescent="0.25">
      <c r="A235" t="s">
        <v>741</v>
      </c>
      <c r="B235" t="s">
        <v>140</v>
      </c>
      <c r="C235" t="s">
        <v>504</v>
      </c>
      <c r="D235" t="s">
        <v>518</v>
      </c>
      <c r="E235" s="2">
        <v>46098</v>
      </c>
      <c r="F235" t="s">
        <v>506</v>
      </c>
      <c r="G235">
        <v>209</v>
      </c>
    </row>
    <row r="236" spans="1:7" x14ac:dyDescent="0.25">
      <c r="A236" t="s">
        <v>742</v>
      </c>
      <c r="B236" t="s">
        <v>201</v>
      </c>
      <c r="C236" t="s">
        <v>500</v>
      </c>
      <c r="D236" t="s">
        <v>498</v>
      </c>
      <c r="E236" s="2">
        <v>46082</v>
      </c>
      <c r="F236" t="s">
        <v>493</v>
      </c>
      <c r="G236">
        <v>133</v>
      </c>
    </row>
    <row r="237" spans="1:7" x14ac:dyDescent="0.25">
      <c r="A237" t="s">
        <v>743</v>
      </c>
      <c r="B237" t="s">
        <v>147</v>
      </c>
      <c r="C237" t="s">
        <v>497</v>
      </c>
      <c r="D237" t="s">
        <v>492</v>
      </c>
      <c r="E237" s="2">
        <v>46106</v>
      </c>
      <c r="F237" t="s">
        <v>493</v>
      </c>
      <c r="G237">
        <v>103</v>
      </c>
    </row>
    <row r="238" spans="1:7" x14ac:dyDescent="0.25">
      <c r="A238" t="s">
        <v>744</v>
      </c>
      <c r="B238" t="s">
        <v>201</v>
      </c>
      <c r="C238" t="s">
        <v>500</v>
      </c>
      <c r="D238" t="s">
        <v>512</v>
      </c>
      <c r="E238" s="2">
        <v>46108</v>
      </c>
      <c r="F238" t="s">
        <v>493</v>
      </c>
      <c r="G238">
        <v>226</v>
      </c>
    </row>
    <row r="239" spans="1:7" x14ac:dyDescent="0.25">
      <c r="A239" t="s">
        <v>745</v>
      </c>
      <c r="B239" t="s">
        <v>98</v>
      </c>
      <c r="C239" t="s">
        <v>491</v>
      </c>
      <c r="D239" t="s">
        <v>492</v>
      </c>
      <c r="E239" s="2">
        <v>46086</v>
      </c>
      <c r="F239" t="s">
        <v>506</v>
      </c>
      <c r="G239">
        <v>62</v>
      </c>
    </row>
    <row r="240" spans="1:7" x14ac:dyDescent="0.25">
      <c r="A240" t="s">
        <v>746</v>
      </c>
      <c r="B240" t="s">
        <v>123</v>
      </c>
      <c r="C240" t="s">
        <v>495</v>
      </c>
      <c r="D240" t="s">
        <v>515</v>
      </c>
      <c r="E240" s="2">
        <v>46088</v>
      </c>
      <c r="F240" t="s">
        <v>506</v>
      </c>
      <c r="G240">
        <v>69</v>
      </c>
    </row>
    <row r="241" spans="1:7" x14ac:dyDescent="0.25">
      <c r="A241" t="s">
        <v>747</v>
      </c>
      <c r="B241" t="s">
        <v>121</v>
      </c>
      <c r="C241" t="s">
        <v>491</v>
      </c>
      <c r="D241" t="s">
        <v>521</v>
      </c>
      <c r="E241" s="2">
        <v>46090</v>
      </c>
      <c r="F241" t="s">
        <v>506</v>
      </c>
      <c r="G241">
        <v>128</v>
      </c>
    </row>
    <row r="242" spans="1:7" x14ac:dyDescent="0.25">
      <c r="A242" t="s">
        <v>748</v>
      </c>
      <c r="B242" t="s">
        <v>203</v>
      </c>
      <c r="C242" t="s">
        <v>497</v>
      </c>
      <c r="D242" t="s">
        <v>512</v>
      </c>
      <c r="E242" s="2">
        <v>46100</v>
      </c>
      <c r="F242" t="s">
        <v>493</v>
      </c>
      <c r="G242">
        <v>260</v>
      </c>
    </row>
    <row r="243" spans="1:7" x14ac:dyDescent="0.25">
      <c r="A243" t="s">
        <v>749</v>
      </c>
      <c r="B243" t="s">
        <v>134</v>
      </c>
      <c r="C243" t="s">
        <v>504</v>
      </c>
      <c r="D243" t="s">
        <v>498</v>
      </c>
      <c r="E243" s="2">
        <v>46107</v>
      </c>
      <c r="F243" t="s">
        <v>493</v>
      </c>
      <c r="G243">
        <v>272</v>
      </c>
    </row>
    <row r="244" spans="1:7" x14ac:dyDescent="0.25">
      <c r="A244" t="s">
        <v>750</v>
      </c>
      <c r="B244" t="s">
        <v>37</v>
      </c>
      <c r="C244" t="s">
        <v>497</v>
      </c>
      <c r="D244" t="s">
        <v>492</v>
      </c>
      <c r="E244" s="2">
        <v>46105</v>
      </c>
      <c r="F244" t="s">
        <v>502</v>
      </c>
      <c r="G244">
        <v>282</v>
      </c>
    </row>
    <row r="245" spans="1:7" x14ac:dyDescent="0.25">
      <c r="A245" t="s">
        <v>751</v>
      </c>
      <c r="B245" t="s">
        <v>33</v>
      </c>
      <c r="C245" t="s">
        <v>491</v>
      </c>
      <c r="D245" t="s">
        <v>521</v>
      </c>
      <c r="E245" s="2">
        <v>46096</v>
      </c>
      <c r="F245" t="s">
        <v>506</v>
      </c>
      <c r="G245">
        <v>205</v>
      </c>
    </row>
    <row r="246" spans="1:7" x14ac:dyDescent="0.25">
      <c r="A246" t="s">
        <v>752</v>
      </c>
      <c r="B246" t="s">
        <v>80</v>
      </c>
      <c r="C246" t="s">
        <v>495</v>
      </c>
      <c r="D246" t="s">
        <v>515</v>
      </c>
      <c r="E246" s="2">
        <v>46109</v>
      </c>
      <c r="F246" t="s">
        <v>493</v>
      </c>
      <c r="G246">
        <v>114</v>
      </c>
    </row>
    <row r="247" spans="1:7" x14ac:dyDescent="0.25">
      <c r="A247" t="s">
        <v>753</v>
      </c>
      <c r="B247" t="s">
        <v>26</v>
      </c>
      <c r="C247" t="s">
        <v>504</v>
      </c>
      <c r="D247" t="s">
        <v>492</v>
      </c>
      <c r="E247" s="2">
        <v>46109</v>
      </c>
      <c r="F247" t="s">
        <v>506</v>
      </c>
      <c r="G247">
        <v>283</v>
      </c>
    </row>
    <row r="248" spans="1:7" x14ac:dyDescent="0.25">
      <c r="A248" t="s">
        <v>754</v>
      </c>
      <c r="B248" t="s">
        <v>168</v>
      </c>
      <c r="C248" t="s">
        <v>497</v>
      </c>
      <c r="D248" t="s">
        <v>518</v>
      </c>
      <c r="E248" s="2">
        <v>46106</v>
      </c>
      <c r="F248" t="s">
        <v>506</v>
      </c>
      <c r="G248">
        <v>242</v>
      </c>
    </row>
    <row r="249" spans="1:7" x14ac:dyDescent="0.25">
      <c r="A249" t="s">
        <v>755</v>
      </c>
      <c r="B249" t="s">
        <v>141</v>
      </c>
      <c r="C249" t="s">
        <v>495</v>
      </c>
      <c r="D249" t="s">
        <v>585</v>
      </c>
      <c r="E249" s="2">
        <v>46102</v>
      </c>
      <c r="F249" t="s">
        <v>502</v>
      </c>
      <c r="G249">
        <v>216</v>
      </c>
    </row>
    <row r="250" spans="1:7" x14ac:dyDescent="0.25">
      <c r="A250" t="s">
        <v>756</v>
      </c>
      <c r="B250" t="s">
        <v>119</v>
      </c>
      <c r="C250" t="s">
        <v>504</v>
      </c>
      <c r="D250" t="s">
        <v>508</v>
      </c>
      <c r="E250" s="2">
        <v>46088</v>
      </c>
      <c r="F250" t="s">
        <v>493</v>
      </c>
      <c r="G250">
        <v>84</v>
      </c>
    </row>
    <row r="251" spans="1:7" x14ac:dyDescent="0.25">
      <c r="A251" t="s">
        <v>757</v>
      </c>
      <c r="B251" t="s">
        <v>143</v>
      </c>
      <c r="C251" t="s">
        <v>504</v>
      </c>
      <c r="D251" t="s">
        <v>501</v>
      </c>
      <c r="E251" s="2">
        <v>46104</v>
      </c>
      <c r="F251" t="s">
        <v>502</v>
      </c>
      <c r="G251">
        <v>111</v>
      </c>
    </row>
    <row r="252" spans="1:7" x14ac:dyDescent="0.25">
      <c r="A252" t="s">
        <v>758</v>
      </c>
      <c r="B252" t="s">
        <v>203</v>
      </c>
      <c r="C252" t="s">
        <v>504</v>
      </c>
      <c r="D252" t="s">
        <v>521</v>
      </c>
      <c r="E252" s="2">
        <v>46083</v>
      </c>
      <c r="F252" t="s">
        <v>502</v>
      </c>
      <c r="G252">
        <v>175</v>
      </c>
    </row>
    <row r="253" spans="1:7" x14ac:dyDescent="0.25">
      <c r="A253" t="s">
        <v>759</v>
      </c>
      <c r="B253" t="s">
        <v>93</v>
      </c>
      <c r="C253" t="s">
        <v>500</v>
      </c>
      <c r="D253" t="s">
        <v>523</v>
      </c>
      <c r="E253" s="2">
        <v>46094</v>
      </c>
      <c r="F253" t="s">
        <v>502</v>
      </c>
      <c r="G253">
        <v>276</v>
      </c>
    </row>
    <row r="254" spans="1:7" x14ac:dyDescent="0.25">
      <c r="A254" t="s">
        <v>760</v>
      </c>
      <c r="B254" t="s">
        <v>109</v>
      </c>
      <c r="C254" t="s">
        <v>491</v>
      </c>
      <c r="D254" t="s">
        <v>508</v>
      </c>
      <c r="E254" s="2">
        <v>46086</v>
      </c>
      <c r="F254" t="s">
        <v>506</v>
      </c>
      <c r="G254">
        <v>145</v>
      </c>
    </row>
    <row r="255" spans="1:7" x14ac:dyDescent="0.25">
      <c r="A255" t="s">
        <v>761</v>
      </c>
      <c r="B255" t="s">
        <v>134</v>
      </c>
      <c r="C255" t="s">
        <v>500</v>
      </c>
      <c r="D255" t="s">
        <v>512</v>
      </c>
      <c r="E255" s="2">
        <v>46107</v>
      </c>
      <c r="F255" t="s">
        <v>493</v>
      </c>
      <c r="G255">
        <v>263</v>
      </c>
    </row>
    <row r="256" spans="1:7" x14ac:dyDescent="0.25">
      <c r="A256" t="s">
        <v>762</v>
      </c>
      <c r="B256" t="s">
        <v>102</v>
      </c>
      <c r="C256" t="s">
        <v>497</v>
      </c>
      <c r="D256" t="s">
        <v>492</v>
      </c>
      <c r="E256" s="2">
        <v>46091</v>
      </c>
      <c r="F256" t="s">
        <v>493</v>
      </c>
      <c r="G256">
        <v>235</v>
      </c>
    </row>
    <row r="257" spans="1:7" x14ac:dyDescent="0.25">
      <c r="A257" t="s">
        <v>763</v>
      </c>
      <c r="B257" t="s">
        <v>159</v>
      </c>
      <c r="C257" t="s">
        <v>497</v>
      </c>
      <c r="D257" t="s">
        <v>521</v>
      </c>
      <c r="E257" s="2">
        <v>46107</v>
      </c>
      <c r="F257" t="s">
        <v>493</v>
      </c>
      <c r="G257">
        <v>204</v>
      </c>
    </row>
    <row r="258" spans="1:7" x14ac:dyDescent="0.25">
      <c r="A258" t="s">
        <v>764</v>
      </c>
      <c r="B258" t="s">
        <v>26</v>
      </c>
      <c r="C258" t="s">
        <v>491</v>
      </c>
      <c r="D258" t="s">
        <v>518</v>
      </c>
      <c r="E258" s="2">
        <v>46089</v>
      </c>
      <c r="F258" t="s">
        <v>506</v>
      </c>
      <c r="G258">
        <v>155</v>
      </c>
    </row>
    <row r="259" spans="1:7" x14ac:dyDescent="0.25">
      <c r="A259" t="s">
        <v>765</v>
      </c>
      <c r="B259" t="s">
        <v>53</v>
      </c>
      <c r="C259" t="s">
        <v>504</v>
      </c>
      <c r="D259" t="s">
        <v>521</v>
      </c>
      <c r="E259" s="2">
        <v>46087</v>
      </c>
      <c r="F259" t="s">
        <v>502</v>
      </c>
      <c r="G259">
        <v>132</v>
      </c>
    </row>
    <row r="260" spans="1:7" x14ac:dyDescent="0.25">
      <c r="A260" t="s">
        <v>766</v>
      </c>
      <c r="B260" t="s">
        <v>196</v>
      </c>
      <c r="C260" t="s">
        <v>491</v>
      </c>
      <c r="D260" t="s">
        <v>523</v>
      </c>
      <c r="E260" s="2">
        <v>46102</v>
      </c>
      <c r="F260" t="s">
        <v>506</v>
      </c>
      <c r="G260">
        <v>126</v>
      </c>
    </row>
    <row r="261" spans="1:7" x14ac:dyDescent="0.25">
      <c r="A261" t="s">
        <v>767</v>
      </c>
      <c r="B261" t="s">
        <v>129</v>
      </c>
      <c r="C261" t="s">
        <v>504</v>
      </c>
      <c r="D261" t="s">
        <v>498</v>
      </c>
      <c r="E261" s="2">
        <v>46107</v>
      </c>
      <c r="F261" t="s">
        <v>502</v>
      </c>
      <c r="G261">
        <v>163</v>
      </c>
    </row>
    <row r="262" spans="1:7" x14ac:dyDescent="0.25">
      <c r="A262" t="s">
        <v>768</v>
      </c>
      <c r="B262" t="s">
        <v>199</v>
      </c>
      <c r="C262" t="s">
        <v>500</v>
      </c>
      <c r="D262" t="s">
        <v>521</v>
      </c>
      <c r="E262" s="2">
        <v>46111</v>
      </c>
      <c r="F262" t="s">
        <v>493</v>
      </c>
      <c r="G262">
        <v>100</v>
      </c>
    </row>
    <row r="263" spans="1:7" x14ac:dyDescent="0.25">
      <c r="A263" t="s">
        <v>769</v>
      </c>
      <c r="B263" t="s">
        <v>72</v>
      </c>
      <c r="C263" t="s">
        <v>491</v>
      </c>
      <c r="D263" t="s">
        <v>501</v>
      </c>
      <c r="E263" s="2">
        <v>46091</v>
      </c>
      <c r="F263" t="s">
        <v>502</v>
      </c>
      <c r="G263">
        <v>127</v>
      </c>
    </row>
    <row r="264" spans="1:7" x14ac:dyDescent="0.25">
      <c r="A264" t="s">
        <v>770</v>
      </c>
      <c r="B264" t="s">
        <v>80</v>
      </c>
      <c r="C264" t="s">
        <v>504</v>
      </c>
      <c r="D264" t="s">
        <v>585</v>
      </c>
      <c r="E264" s="2">
        <v>46100</v>
      </c>
      <c r="F264" t="s">
        <v>506</v>
      </c>
      <c r="G264">
        <v>213</v>
      </c>
    </row>
    <row r="265" spans="1:7" x14ac:dyDescent="0.25">
      <c r="A265" t="s">
        <v>771</v>
      </c>
      <c r="B265" t="s">
        <v>9</v>
      </c>
      <c r="C265" t="s">
        <v>497</v>
      </c>
      <c r="D265" t="s">
        <v>501</v>
      </c>
      <c r="E265" s="2">
        <v>46102</v>
      </c>
      <c r="F265" t="s">
        <v>502</v>
      </c>
      <c r="G265">
        <v>212</v>
      </c>
    </row>
    <row r="266" spans="1:7" x14ac:dyDescent="0.25">
      <c r="A266" t="s">
        <v>772</v>
      </c>
      <c r="B266" t="s">
        <v>180</v>
      </c>
      <c r="C266" t="s">
        <v>497</v>
      </c>
      <c r="D266" t="s">
        <v>521</v>
      </c>
      <c r="E266" s="2">
        <v>46109</v>
      </c>
      <c r="F266" t="s">
        <v>506</v>
      </c>
      <c r="G266">
        <v>97</v>
      </c>
    </row>
    <row r="267" spans="1:7" x14ac:dyDescent="0.25">
      <c r="A267" t="s">
        <v>773</v>
      </c>
      <c r="B267" t="s">
        <v>190</v>
      </c>
      <c r="C267" t="s">
        <v>495</v>
      </c>
      <c r="D267" t="s">
        <v>523</v>
      </c>
      <c r="E267" s="2">
        <v>46097</v>
      </c>
      <c r="F267" t="s">
        <v>493</v>
      </c>
      <c r="G267">
        <v>221</v>
      </c>
    </row>
    <row r="268" spans="1:7" x14ac:dyDescent="0.25">
      <c r="A268" t="s">
        <v>774</v>
      </c>
      <c r="B268" t="s">
        <v>113</v>
      </c>
      <c r="C268" t="s">
        <v>500</v>
      </c>
      <c r="D268" t="s">
        <v>585</v>
      </c>
      <c r="E268" s="2">
        <v>46111</v>
      </c>
      <c r="F268" t="s">
        <v>493</v>
      </c>
      <c r="G268">
        <v>283</v>
      </c>
    </row>
    <row r="269" spans="1:7" x14ac:dyDescent="0.25">
      <c r="A269" t="s">
        <v>775</v>
      </c>
      <c r="B269" t="s">
        <v>37</v>
      </c>
      <c r="C269" t="s">
        <v>500</v>
      </c>
      <c r="D269" t="s">
        <v>508</v>
      </c>
      <c r="E269" s="2">
        <v>46090</v>
      </c>
      <c r="F269" t="s">
        <v>493</v>
      </c>
      <c r="G269">
        <v>64</v>
      </c>
    </row>
    <row r="270" spans="1:7" x14ac:dyDescent="0.25">
      <c r="A270" t="s">
        <v>776</v>
      </c>
      <c r="B270" t="s">
        <v>143</v>
      </c>
      <c r="C270" t="s">
        <v>500</v>
      </c>
      <c r="D270" t="s">
        <v>585</v>
      </c>
      <c r="E270" s="2">
        <v>46082</v>
      </c>
      <c r="F270" t="s">
        <v>502</v>
      </c>
      <c r="G270">
        <v>154</v>
      </c>
    </row>
    <row r="271" spans="1:7" x14ac:dyDescent="0.25">
      <c r="A271" t="s">
        <v>777</v>
      </c>
      <c r="B271" t="s">
        <v>115</v>
      </c>
      <c r="C271" t="s">
        <v>500</v>
      </c>
      <c r="D271" t="s">
        <v>523</v>
      </c>
      <c r="E271" s="2">
        <v>46086</v>
      </c>
      <c r="F271" t="s">
        <v>502</v>
      </c>
      <c r="G271">
        <v>289</v>
      </c>
    </row>
    <row r="272" spans="1:7" x14ac:dyDescent="0.25">
      <c r="A272" t="s">
        <v>778</v>
      </c>
      <c r="B272" t="s">
        <v>205</v>
      </c>
      <c r="C272" t="s">
        <v>497</v>
      </c>
      <c r="D272" t="s">
        <v>501</v>
      </c>
      <c r="E272" s="2">
        <v>46109</v>
      </c>
      <c r="F272" t="s">
        <v>493</v>
      </c>
      <c r="G272">
        <v>203</v>
      </c>
    </row>
    <row r="273" spans="1:7" x14ac:dyDescent="0.25">
      <c r="A273" t="s">
        <v>779</v>
      </c>
      <c r="B273" t="s">
        <v>153</v>
      </c>
      <c r="C273" t="s">
        <v>495</v>
      </c>
      <c r="D273" t="s">
        <v>501</v>
      </c>
      <c r="E273" s="2">
        <v>46110</v>
      </c>
      <c r="F273" t="s">
        <v>502</v>
      </c>
      <c r="G273">
        <v>128</v>
      </c>
    </row>
    <row r="274" spans="1:7" x14ac:dyDescent="0.25">
      <c r="A274" t="s">
        <v>780</v>
      </c>
      <c r="B274" t="s">
        <v>203</v>
      </c>
      <c r="C274" t="s">
        <v>504</v>
      </c>
      <c r="D274" t="s">
        <v>512</v>
      </c>
      <c r="E274" s="2">
        <v>46104</v>
      </c>
      <c r="F274" t="s">
        <v>506</v>
      </c>
      <c r="G274">
        <v>201</v>
      </c>
    </row>
    <row r="275" spans="1:7" x14ac:dyDescent="0.25">
      <c r="A275" t="s">
        <v>781</v>
      </c>
      <c r="B275" t="s">
        <v>164</v>
      </c>
      <c r="C275" t="s">
        <v>497</v>
      </c>
      <c r="D275" t="s">
        <v>512</v>
      </c>
      <c r="E275" s="2">
        <v>46102</v>
      </c>
      <c r="F275" t="s">
        <v>493</v>
      </c>
      <c r="G275">
        <v>91</v>
      </c>
    </row>
    <row r="276" spans="1:7" x14ac:dyDescent="0.25">
      <c r="A276" t="s">
        <v>782</v>
      </c>
      <c r="B276" t="s">
        <v>117</v>
      </c>
      <c r="C276" t="s">
        <v>500</v>
      </c>
      <c r="D276" t="s">
        <v>585</v>
      </c>
      <c r="E276" s="2">
        <v>46092</v>
      </c>
      <c r="F276" t="s">
        <v>493</v>
      </c>
      <c r="G276">
        <v>102</v>
      </c>
    </row>
    <row r="277" spans="1:7" x14ac:dyDescent="0.25">
      <c r="A277" t="s">
        <v>783</v>
      </c>
      <c r="B277" t="s">
        <v>9</v>
      </c>
      <c r="C277" t="s">
        <v>504</v>
      </c>
      <c r="D277" t="s">
        <v>518</v>
      </c>
      <c r="E277" s="2">
        <v>46107</v>
      </c>
      <c r="F277" t="s">
        <v>502</v>
      </c>
      <c r="G277">
        <v>201</v>
      </c>
    </row>
    <row r="278" spans="1:7" x14ac:dyDescent="0.25">
      <c r="A278" t="s">
        <v>784</v>
      </c>
      <c r="B278" t="s">
        <v>171</v>
      </c>
      <c r="C278" t="s">
        <v>500</v>
      </c>
      <c r="D278" t="s">
        <v>518</v>
      </c>
      <c r="E278" s="2">
        <v>46089</v>
      </c>
      <c r="F278" t="s">
        <v>493</v>
      </c>
      <c r="G278">
        <v>85</v>
      </c>
    </row>
    <row r="279" spans="1:7" x14ac:dyDescent="0.25">
      <c r="A279" t="s">
        <v>785</v>
      </c>
      <c r="B279" t="s">
        <v>53</v>
      </c>
      <c r="C279" t="s">
        <v>500</v>
      </c>
      <c r="D279" t="s">
        <v>518</v>
      </c>
      <c r="E279" s="2">
        <v>46094</v>
      </c>
      <c r="F279" t="s">
        <v>506</v>
      </c>
      <c r="G279">
        <v>74</v>
      </c>
    </row>
    <row r="280" spans="1:7" x14ac:dyDescent="0.25">
      <c r="A280" t="s">
        <v>786</v>
      </c>
      <c r="B280" t="s">
        <v>180</v>
      </c>
      <c r="C280" t="s">
        <v>497</v>
      </c>
      <c r="D280" t="s">
        <v>518</v>
      </c>
      <c r="E280" s="2">
        <v>46087</v>
      </c>
      <c r="F280" t="s">
        <v>506</v>
      </c>
      <c r="G280">
        <v>220</v>
      </c>
    </row>
    <row r="281" spans="1:7" x14ac:dyDescent="0.25">
      <c r="A281" t="s">
        <v>787</v>
      </c>
      <c r="B281" t="s">
        <v>180</v>
      </c>
      <c r="C281" t="s">
        <v>495</v>
      </c>
      <c r="D281" t="s">
        <v>501</v>
      </c>
      <c r="E281" s="2">
        <v>46104</v>
      </c>
      <c r="F281" t="s">
        <v>506</v>
      </c>
      <c r="G281">
        <v>84</v>
      </c>
    </row>
    <row r="282" spans="1:7" x14ac:dyDescent="0.25">
      <c r="A282" t="s">
        <v>788</v>
      </c>
      <c r="B282" t="s">
        <v>40</v>
      </c>
      <c r="C282" t="s">
        <v>497</v>
      </c>
      <c r="D282" t="s">
        <v>585</v>
      </c>
      <c r="E282" s="2">
        <v>46085</v>
      </c>
      <c r="F282" t="s">
        <v>502</v>
      </c>
      <c r="G282">
        <v>198</v>
      </c>
    </row>
    <row r="283" spans="1:7" x14ac:dyDescent="0.25">
      <c r="A283" t="s">
        <v>789</v>
      </c>
      <c r="B283" t="s">
        <v>56</v>
      </c>
      <c r="C283" t="s">
        <v>500</v>
      </c>
      <c r="D283" t="s">
        <v>518</v>
      </c>
      <c r="E283" s="2">
        <v>46100</v>
      </c>
      <c r="F283" t="s">
        <v>506</v>
      </c>
      <c r="G283">
        <v>192</v>
      </c>
    </row>
    <row r="284" spans="1:7" x14ac:dyDescent="0.25">
      <c r="A284" t="s">
        <v>790</v>
      </c>
      <c r="B284" t="s">
        <v>153</v>
      </c>
      <c r="C284" t="s">
        <v>500</v>
      </c>
      <c r="D284" t="s">
        <v>498</v>
      </c>
      <c r="E284" s="2">
        <v>46088</v>
      </c>
      <c r="F284" t="s">
        <v>506</v>
      </c>
      <c r="G284">
        <v>161</v>
      </c>
    </row>
    <row r="285" spans="1:7" x14ac:dyDescent="0.25">
      <c r="A285" t="s">
        <v>791</v>
      </c>
      <c r="B285" t="s">
        <v>128</v>
      </c>
      <c r="C285" t="s">
        <v>491</v>
      </c>
      <c r="D285" t="s">
        <v>518</v>
      </c>
      <c r="E285" s="2">
        <v>46091</v>
      </c>
      <c r="F285" t="s">
        <v>493</v>
      </c>
      <c r="G285">
        <v>131</v>
      </c>
    </row>
    <row r="286" spans="1:7" x14ac:dyDescent="0.25">
      <c r="A286" t="s">
        <v>792</v>
      </c>
      <c r="B286" t="s">
        <v>166</v>
      </c>
      <c r="C286" t="s">
        <v>500</v>
      </c>
      <c r="D286" t="s">
        <v>492</v>
      </c>
      <c r="E286" s="2">
        <v>46091</v>
      </c>
      <c r="F286" t="s">
        <v>506</v>
      </c>
      <c r="G286">
        <v>185</v>
      </c>
    </row>
    <row r="287" spans="1:7" x14ac:dyDescent="0.25">
      <c r="A287" t="s">
        <v>793</v>
      </c>
      <c r="B287" t="s">
        <v>103</v>
      </c>
      <c r="C287" t="s">
        <v>497</v>
      </c>
      <c r="D287" t="s">
        <v>523</v>
      </c>
      <c r="E287" s="2">
        <v>46100</v>
      </c>
      <c r="F287" t="s">
        <v>502</v>
      </c>
      <c r="G287">
        <v>134</v>
      </c>
    </row>
    <row r="288" spans="1:7" x14ac:dyDescent="0.25">
      <c r="A288" t="s">
        <v>794</v>
      </c>
      <c r="B288" t="s">
        <v>64</v>
      </c>
      <c r="C288" t="s">
        <v>504</v>
      </c>
      <c r="D288" t="s">
        <v>523</v>
      </c>
      <c r="E288" s="2">
        <v>46084</v>
      </c>
      <c r="F288" t="s">
        <v>502</v>
      </c>
      <c r="G288">
        <v>192</v>
      </c>
    </row>
    <row r="289" spans="1:7" x14ac:dyDescent="0.25">
      <c r="A289" t="s">
        <v>795</v>
      </c>
      <c r="B289" t="s">
        <v>75</v>
      </c>
      <c r="C289" t="s">
        <v>500</v>
      </c>
      <c r="D289" t="s">
        <v>512</v>
      </c>
      <c r="E289" s="2">
        <v>46083</v>
      </c>
      <c r="F289" t="s">
        <v>502</v>
      </c>
      <c r="G289">
        <v>68</v>
      </c>
    </row>
    <row r="290" spans="1:7" x14ac:dyDescent="0.25">
      <c r="A290" t="s">
        <v>796</v>
      </c>
      <c r="B290" t="s">
        <v>195</v>
      </c>
      <c r="C290" t="s">
        <v>491</v>
      </c>
      <c r="D290" t="s">
        <v>492</v>
      </c>
      <c r="E290" s="2">
        <v>46091</v>
      </c>
      <c r="F290" t="s">
        <v>502</v>
      </c>
      <c r="G290">
        <v>185</v>
      </c>
    </row>
    <row r="291" spans="1:7" x14ac:dyDescent="0.25">
      <c r="A291" t="s">
        <v>797</v>
      </c>
      <c r="B291" t="s">
        <v>141</v>
      </c>
      <c r="C291" t="s">
        <v>495</v>
      </c>
      <c r="D291" t="s">
        <v>501</v>
      </c>
      <c r="E291" s="2">
        <v>46096</v>
      </c>
      <c r="F291" t="s">
        <v>493</v>
      </c>
      <c r="G291">
        <v>194</v>
      </c>
    </row>
    <row r="292" spans="1:7" x14ac:dyDescent="0.25">
      <c r="A292" t="s">
        <v>798</v>
      </c>
      <c r="B292" t="s">
        <v>147</v>
      </c>
      <c r="C292" t="s">
        <v>491</v>
      </c>
      <c r="D292" t="s">
        <v>585</v>
      </c>
      <c r="E292" s="2">
        <v>46104</v>
      </c>
      <c r="F292" t="s">
        <v>506</v>
      </c>
      <c r="G292">
        <v>139</v>
      </c>
    </row>
    <row r="293" spans="1:7" x14ac:dyDescent="0.25">
      <c r="A293" t="s">
        <v>799</v>
      </c>
      <c r="B293" t="s">
        <v>69</v>
      </c>
      <c r="C293" t="s">
        <v>491</v>
      </c>
      <c r="D293" t="s">
        <v>523</v>
      </c>
      <c r="E293" s="2">
        <v>46094</v>
      </c>
      <c r="F293" t="s">
        <v>502</v>
      </c>
      <c r="G293">
        <v>138</v>
      </c>
    </row>
    <row r="294" spans="1:7" x14ac:dyDescent="0.25">
      <c r="A294" t="s">
        <v>800</v>
      </c>
      <c r="B294" t="s">
        <v>87</v>
      </c>
      <c r="C294" t="s">
        <v>500</v>
      </c>
      <c r="D294" t="s">
        <v>521</v>
      </c>
      <c r="E294" s="2">
        <v>46107</v>
      </c>
      <c r="F294" t="s">
        <v>493</v>
      </c>
      <c r="G294">
        <v>96</v>
      </c>
    </row>
    <row r="295" spans="1:7" x14ac:dyDescent="0.25">
      <c r="A295" t="s">
        <v>801</v>
      </c>
      <c r="B295" t="s">
        <v>157</v>
      </c>
      <c r="C295" t="s">
        <v>495</v>
      </c>
      <c r="D295" t="s">
        <v>523</v>
      </c>
      <c r="E295" s="2">
        <v>46106</v>
      </c>
      <c r="F295" t="s">
        <v>502</v>
      </c>
      <c r="G295">
        <v>121</v>
      </c>
    </row>
    <row r="296" spans="1:7" x14ac:dyDescent="0.25">
      <c r="A296" t="s">
        <v>802</v>
      </c>
      <c r="B296" t="s">
        <v>53</v>
      </c>
      <c r="C296" t="s">
        <v>495</v>
      </c>
      <c r="D296" t="s">
        <v>508</v>
      </c>
      <c r="E296" s="2">
        <v>46089</v>
      </c>
      <c r="F296" t="s">
        <v>502</v>
      </c>
      <c r="G296">
        <v>283</v>
      </c>
    </row>
    <row r="297" spans="1:7" x14ac:dyDescent="0.25">
      <c r="A297" t="s">
        <v>803</v>
      </c>
      <c r="B297" t="s">
        <v>78</v>
      </c>
      <c r="C297" t="s">
        <v>500</v>
      </c>
      <c r="D297" t="s">
        <v>515</v>
      </c>
      <c r="E297" s="2">
        <v>46110</v>
      </c>
      <c r="F297" t="s">
        <v>493</v>
      </c>
      <c r="G297">
        <v>184</v>
      </c>
    </row>
    <row r="298" spans="1:7" x14ac:dyDescent="0.25">
      <c r="A298" t="s">
        <v>804</v>
      </c>
      <c r="B298" t="s">
        <v>75</v>
      </c>
      <c r="C298" t="s">
        <v>497</v>
      </c>
      <c r="D298" t="s">
        <v>515</v>
      </c>
      <c r="E298" s="2">
        <v>46094</v>
      </c>
      <c r="F298" t="s">
        <v>506</v>
      </c>
      <c r="G298">
        <v>234</v>
      </c>
    </row>
    <row r="299" spans="1:7" x14ac:dyDescent="0.25">
      <c r="A299" t="s">
        <v>805</v>
      </c>
      <c r="B299" t="s">
        <v>141</v>
      </c>
      <c r="C299" t="s">
        <v>491</v>
      </c>
      <c r="D299" t="s">
        <v>518</v>
      </c>
      <c r="E299" s="2">
        <v>46105</v>
      </c>
      <c r="F299" t="s">
        <v>506</v>
      </c>
      <c r="G299">
        <v>215</v>
      </c>
    </row>
    <row r="300" spans="1:7" x14ac:dyDescent="0.25">
      <c r="A300" t="s">
        <v>806</v>
      </c>
      <c r="B300" t="s">
        <v>144</v>
      </c>
      <c r="C300" t="s">
        <v>495</v>
      </c>
      <c r="D300" t="s">
        <v>498</v>
      </c>
      <c r="E300" s="2">
        <v>46100</v>
      </c>
      <c r="F300" t="s">
        <v>502</v>
      </c>
      <c r="G300">
        <v>125</v>
      </c>
    </row>
    <row r="301" spans="1:7" x14ac:dyDescent="0.25">
      <c r="A301" t="s">
        <v>807</v>
      </c>
      <c r="B301" t="s">
        <v>156</v>
      </c>
      <c r="C301" t="s">
        <v>491</v>
      </c>
      <c r="D301" t="s">
        <v>512</v>
      </c>
      <c r="E301" s="2">
        <v>46083</v>
      </c>
      <c r="F301" t="s">
        <v>506</v>
      </c>
      <c r="G301">
        <v>239</v>
      </c>
    </row>
    <row r="302" spans="1:7" x14ac:dyDescent="0.25">
      <c r="A302" t="s">
        <v>808</v>
      </c>
      <c r="B302" t="s">
        <v>123</v>
      </c>
      <c r="C302" t="s">
        <v>497</v>
      </c>
      <c r="D302" t="s">
        <v>492</v>
      </c>
      <c r="E302" s="2">
        <v>46110</v>
      </c>
      <c r="F302" t="s">
        <v>506</v>
      </c>
      <c r="G302">
        <v>150</v>
      </c>
    </row>
    <row r="303" spans="1:7" x14ac:dyDescent="0.25">
      <c r="A303" t="s">
        <v>809</v>
      </c>
      <c r="B303" t="s">
        <v>154</v>
      </c>
      <c r="C303" t="s">
        <v>500</v>
      </c>
      <c r="D303" t="s">
        <v>521</v>
      </c>
      <c r="E303" s="2">
        <v>46093</v>
      </c>
      <c r="F303" t="s">
        <v>502</v>
      </c>
      <c r="G303">
        <v>136</v>
      </c>
    </row>
    <row r="304" spans="1:7" x14ac:dyDescent="0.25">
      <c r="A304" t="s">
        <v>810</v>
      </c>
      <c r="B304" t="s">
        <v>40</v>
      </c>
      <c r="C304" t="s">
        <v>495</v>
      </c>
      <c r="D304" t="s">
        <v>508</v>
      </c>
      <c r="E304" s="2">
        <v>46107</v>
      </c>
      <c r="F304" t="s">
        <v>506</v>
      </c>
      <c r="G304">
        <v>293</v>
      </c>
    </row>
    <row r="305" spans="1:7" x14ac:dyDescent="0.25">
      <c r="A305" t="s">
        <v>811</v>
      </c>
      <c r="B305" t="s">
        <v>100</v>
      </c>
      <c r="C305" t="s">
        <v>500</v>
      </c>
      <c r="D305" t="s">
        <v>515</v>
      </c>
      <c r="E305" s="2">
        <v>46110</v>
      </c>
      <c r="F305" t="s">
        <v>502</v>
      </c>
      <c r="G305">
        <v>92</v>
      </c>
    </row>
    <row r="306" spans="1:7" x14ac:dyDescent="0.25">
      <c r="A306" t="s">
        <v>812</v>
      </c>
      <c r="B306" t="s">
        <v>131</v>
      </c>
      <c r="C306" t="s">
        <v>495</v>
      </c>
      <c r="D306" t="s">
        <v>501</v>
      </c>
      <c r="E306" s="2">
        <v>46109</v>
      </c>
      <c r="F306" t="s">
        <v>493</v>
      </c>
      <c r="G306">
        <v>150</v>
      </c>
    </row>
    <row r="307" spans="1:7" x14ac:dyDescent="0.25">
      <c r="A307" t="s">
        <v>813</v>
      </c>
      <c r="B307" t="s">
        <v>82</v>
      </c>
      <c r="C307" t="s">
        <v>504</v>
      </c>
      <c r="D307" t="s">
        <v>498</v>
      </c>
      <c r="E307" s="2">
        <v>46099</v>
      </c>
      <c r="F307" t="s">
        <v>506</v>
      </c>
      <c r="G307">
        <v>170</v>
      </c>
    </row>
    <row r="308" spans="1:7" x14ac:dyDescent="0.25">
      <c r="A308" t="s">
        <v>814</v>
      </c>
      <c r="B308" t="s">
        <v>173</v>
      </c>
      <c r="C308" t="s">
        <v>500</v>
      </c>
      <c r="D308" t="s">
        <v>521</v>
      </c>
      <c r="E308" s="2">
        <v>46084</v>
      </c>
      <c r="F308" t="s">
        <v>506</v>
      </c>
      <c r="G308">
        <v>71</v>
      </c>
    </row>
    <row r="309" spans="1:7" x14ac:dyDescent="0.25">
      <c r="A309" t="s">
        <v>815</v>
      </c>
      <c r="B309" t="s">
        <v>190</v>
      </c>
      <c r="C309" t="s">
        <v>491</v>
      </c>
      <c r="D309" t="s">
        <v>585</v>
      </c>
      <c r="E309" s="2">
        <v>46084</v>
      </c>
      <c r="F309" t="s">
        <v>506</v>
      </c>
      <c r="G309">
        <v>116</v>
      </c>
    </row>
    <row r="310" spans="1:7" x14ac:dyDescent="0.25">
      <c r="A310" t="s">
        <v>816</v>
      </c>
      <c r="B310" t="s">
        <v>88</v>
      </c>
      <c r="C310" t="s">
        <v>491</v>
      </c>
      <c r="D310" t="s">
        <v>492</v>
      </c>
      <c r="E310" s="2">
        <v>46092</v>
      </c>
      <c r="F310" t="s">
        <v>502</v>
      </c>
      <c r="G310">
        <v>267</v>
      </c>
    </row>
    <row r="311" spans="1:7" x14ac:dyDescent="0.25">
      <c r="A311" t="s">
        <v>817</v>
      </c>
      <c r="B311" t="s">
        <v>195</v>
      </c>
      <c r="C311" t="s">
        <v>495</v>
      </c>
      <c r="D311" t="s">
        <v>508</v>
      </c>
      <c r="E311" s="2">
        <v>46098</v>
      </c>
      <c r="F311" t="s">
        <v>506</v>
      </c>
      <c r="G311">
        <v>69</v>
      </c>
    </row>
    <row r="312" spans="1:7" x14ac:dyDescent="0.25">
      <c r="A312" t="s">
        <v>818</v>
      </c>
      <c r="B312" t="s">
        <v>127</v>
      </c>
      <c r="C312" t="s">
        <v>495</v>
      </c>
      <c r="D312" t="s">
        <v>515</v>
      </c>
      <c r="E312" s="2">
        <v>46104</v>
      </c>
      <c r="F312" t="s">
        <v>506</v>
      </c>
      <c r="G312">
        <v>186</v>
      </c>
    </row>
    <row r="313" spans="1:7" x14ac:dyDescent="0.25">
      <c r="A313" t="s">
        <v>819</v>
      </c>
      <c r="B313" t="s">
        <v>119</v>
      </c>
      <c r="C313" t="s">
        <v>495</v>
      </c>
      <c r="D313" t="s">
        <v>501</v>
      </c>
      <c r="E313" s="2">
        <v>46085</v>
      </c>
      <c r="F313" t="s">
        <v>493</v>
      </c>
      <c r="G313">
        <v>264</v>
      </c>
    </row>
    <row r="314" spans="1:7" x14ac:dyDescent="0.25">
      <c r="A314" t="s">
        <v>820</v>
      </c>
      <c r="B314" t="s">
        <v>205</v>
      </c>
      <c r="C314" t="s">
        <v>495</v>
      </c>
      <c r="D314" t="s">
        <v>508</v>
      </c>
      <c r="E314" s="2">
        <v>46098</v>
      </c>
      <c r="F314" t="s">
        <v>502</v>
      </c>
      <c r="G314">
        <v>263</v>
      </c>
    </row>
    <row r="315" spans="1:7" x14ac:dyDescent="0.25">
      <c r="A315" t="s">
        <v>821</v>
      </c>
      <c r="B315" t="s">
        <v>9</v>
      </c>
      <c r="C315" t="s">
        <v>500</v>
      </c>
      <c r="D315" t="s">
        <v>492</v>
      </c>
      <c r="E315" s="2">
        <v>46085</v>
      </c>
      <c r="F315" t="s">
        <v>493</v>
      </c>
      <c r="G315">
        <v>102</v>
      </c>
    </row>
    <row r="316" spans="1:7" x14ac:dyDescent="0.25">
      <c r="A316" t="s">
        <v>822</v>
      </c>
      <c r="B316" t="s">
        <v>33</v>
      </c>
      <c r="C316" t="s">
        <v>504</v>
      </c>
      <c r="D316" t="s">
        <v>498</v>
      </c>
      <c r="E316" s="2">
        <v>46111</v>
      </c>
      <c r="F316" t="s">
        <v>502</v>
      </c>
      <c r="G316">
        <v>251</v>
      </c>
    </row>
    <row r="317" spans="1:7" x14ac:dyDescent="0.25">
      <c r="A317" t="s">
        <v>823</v>
      </c>
      <c r="B317" t="s">
        <v>16</v>
      </c>
      <c r="C317" t="s">
        <v>497</v>
      </c>
      <c r="D317" t="s">
        <v>523</v>
      </c>
      <c r="E317" s="2">
        <v>46089</v>
      </c>
      <c r="F317" t="s">
        <v>506</v>
      </c>
      <c r="G317">
        <v>107</v>
      </c>
    </row>
    <row r="318" spans="1:7" x14ac:dyDescent="0.25">
      <c r="A318" t="s">
        <v>824</v>
      </c>
      <c r="B318" t="s">
        <v>80</v>
      </c>
      <c r="C318" t="s">
        <v>491</v>
      </c>
      <c r="D318" t="s">
        <v>498</v>
      </c>
      <c r="E318" s="2">
        <v>46096</v>
      </c>
      <c r="F318" t="s">
        <v>506</v>
      </c>
      <c r="G318">
        <v>159</v>
      </c>
    </row>
    <row r="319" spans="1:7" x14ac:dyDescent="0.25">
      <c r="A319" t="s">
        <v>825</v>
      </c>
      <c r="B319" t="s">
        <v>43</v>
      </c>
      <c r="C319" t="s">
        <v>497</v>
      </c>
      <c r="D319" t="s">
        <v>508</v>
      </c>
      <c r="E319" s="2">
        <v>46097</v>
      </c>
      <c r="F319" t="s">
        <v>493</v>
      </c>
      <c r="G319">
        <v>179</v>
      </c>
    </row>
    <row r="320" spans="1:7" x14ac:dyDescent="0.25">
      <c r="A320" t="s">
        <v>826</v>
      </c>
      <c r="B320" t="s">
        <v>153</v>
      </c>
      <c r="C320" t="s">
        <v>495</v>
      </c>
      <c r="D320" t="s">
        <v>518</v>
      </c>
      <c r="E320" s="2">
        <v>46082</v>
      </c>
      <c r="F320" t="s">
        <v>506</v>
      </c>
      <c r="G320">
        <v>157</v>
      </c>
    </row>
    <row r="321" spans="1:7" x14ac:dyDescent="0.25">
      <c r="A321" t="s">
        <v>827</v>
      </c>
      <c r="B321" t="s">
        <v>196</v>
      </c>
      <c r="C321" t="s">
        <v>504</v>
      </c>
      <c r="D321" t="s">
        <v>498</v>
      </c>
      <c r="E321" s="2">
        <v>46084</v>
      </c>
      <c r="F321" t="s">
        <v>493</v>
      </c>
      <c r="G321">
        <v>170</v>
      </c>
    </row>
    <row r="322" spans="1:7" x14ac:dyDescent="0.25">
      <c r="A322" t="s">
        <v>828</v>
      </c>
      <c r="B322" t="s">
        <v>181</v>
      </c>
      <c r="C322" t="s">
        <v>495</v>
      </c>
      <c r="D322" t="s">
        <v>501</v>
      </c>
      <c r="E322" s="2">
        <v>46084</v>
      </c>
      <c r="F322" t="s">
        <v>493</v>
      </c>
      <c r="G322">
        <v>92</v>
      </c>
    </row>
    <row r="323" spans="1:7" x14ac:dyDescent="0.25">
      <c r="A323" t="s">
        <v>829</v>
      </c>
      <c r="B323" t="s">
        <v>115</v>
      </c>
      <c r="C323" t="s">
        <v>497</v>
      </c>
      <c r="D323" t="s">
        <v>518</v>
      </c>
      <c r="E323" s="2">
        <v>46109</v>
      </c>
      <c r="F323" t="s">
        <v>506</v>
      </c>
      <c r="G323">
        <v>92</v>
      </c>
    </row>
    <row r="324" spans="1:7" x14ac:dyDescent="0.25">
      <c r="A324" t="s">
        <v>830</v>
      </c>
      <c r="B324" t="s">
        <v>179</v>
      </c>
      <c r="C324" t="s">
        <v>504</v>
      </c>
      <c r="D324" t="s">
        <v>515</v>
      </c>
      <c r="E324" s="2">
        <v>46100</v>
      </c>
      <c r="F324" t="s">
        <v>506</v>
      </c>
      <c r="G324">
        <v>95</v>
      </c>
    </row>
    <row r="325" spans="1:7" x14ac:dyDescent="0.25">
      <c r="A325" t="s">
        <v>831</v>
      </c>
      <c r="B325" t="s">
        <v>26</v>
      </c>
      <c r="C325" t="s">
        <v>497</v>
      </c>
      <c r="D325" t="s">
        <v>498</v>
      </c>
      <c r="E325" s="2">
        <v>46089</v>
      </c>
      <c r="F325" t="s">
        <v>502</v>
      </c>
      <c r="G325">
        <v>117</v>
      </c>
    </row>
    <row r="326" spans="1:7" x14ac:dyDescent="0.25">
      <c r="A326" t="s">
        <v>832</v>
      </c>
      <c r="B326" t="s">
        <v>170</v>
      </c>
      <c r="C326" t="s">
        <v>497</v>
      </c>
      <c r="D326" t="s">
        <v>523</v>
      </c>
      <c r="E326" s="2">
        <v>46082</v>
      </c>
      <c r="F326" t="s">
        <v>502</v>
      </c>
      <c r="G326">
        <v>178</v>
      </c>
    </row>
    <row r="327" spans="1:7" x14ac:dyDescent="0.25">
      <c r="A327" t="s">
        <v>833</v>
      </c>
      <c r="B327" t="s">
        <v>191</v>
      </c>
      <c r="C327" t="s">
        <v>497</v>
      </c>
      <c r="D327" t="s">
        <v>585</v>
      </c>
      <c r="E327" s="2">
        <v>46105</v>
      </c>
      <c r="F327" t="s">
        <v>506</v>
      </c>
      <c r="G327">
        <v>222</v>
      </c>
    </row>
    <row r="328" spans="1:7" x14ac:dyDescent="0.25">
      <c r="A328" t="s">
        <v>834</v>
      </c>
      <c r="B328" t="s">
        <v>93</v>
      </c>
      <c r="C328" t="s">
        <v>504</v>
      </c>
      <c r="D328" t="s">
        <v>518</v>
      </c>
      <c r="E328" s="2">
        <v>46093</v>
      </c>
      <c r="F328" t="s">
        <v>493</v>
      </c>
      <c r="G328">
        <v>196</v>
      </c>
    </row>
    <row r="329" spans="1:7" x14ac:dyDescent="0.25">
      <c r="A329" t="s">
        <v>835</v>
      </c>
      <c r="B329" t="s">
        <v>31</v>
      </c>
      <c r="C329" t="s">
        <v>504</v>
      </c>
      <c r="D329" t="s">
        <v>492</v>
      </c>
      <c r="E329" s="2">
        <v>46102</v>
      </c>
      <c r="F329" t="s">
        <v>493</v>
      </c>
      <c r="G329">
        <v>96</v>
      </c>
    </row>
    <row r="330" spans="1:7" x14ac:dyDescent="0.25">
      <c r="A330" t="s">
        <v>836</v>
      </c>
      <c r="B330" t="s">
        <v>82</v>
      </c>
      <c r="C330" t="s">
        <v>504</v>
      </c>
      <c r="D330" t="s">
        <v>501</v>
      </c>
      <c r="E330" s="2">
        <v>46090</v>
      </c>
      <c r="F330" t="s">
        <v>493</v>
      </c>
      <c r="G330">
        <v>204</v>
      </c>
    </row>
    <row r="331" spans="1:7" x14ac:dyDescent="0.25">
      <c r="A331" t="s">
        <v>837</v>
      </c>
      <c r="B331" t="s">
        <v>87</v>
      </c>
      <c r="C331" t="s">
        <v>495</v>
      </c>
      <c r="D331" t="s">
        <v>523</v>
      </c>
      <c r="E331" s="2">
        <v>46090</v>
      </c>
      <c r="F331" t="s">
        <v>506</v>
      </c>
      <c r="G331">
        <v>161</v>
      </c>
    </row>
    <row r="332" spans="1:7" x14ac:dyDescent="0.25">
      <c r="A332" t="s">
        <v>838</v>
      </c>
      <c r="B332" t="s">
        <v>75</v>
      </c>
      <c r="C332" t="s">
        <v>504</v>
      </c>
      <c r="D332" t="s">
        <v>501</v>
      </c>
      <c r="E332" s="2">
        <v>46091</v>
      </c>
      <c r="F332" t="s">
        <v>493</v>
      </c>
      <c r="G332">
        <v>296</v>
      </c>
    </row>
    <row r="333" spans="1:7" x14ac:dyDescent="0.25">
      <c r="A333" t="s">
        <v>839</v>
      </c>
      <c r="B333" t="s">
        <v>188</v>
      </c>
      <c r="C333" t="s">
        <v>497</v>
      </c>
      <c r="D333" t="s">
        <v>523</v>
      </c>
      <c r="E333" s="2">
        <v>46102</v>
      </c>
      <c r="F333" t="s">
        <v>506</v>
      </c>
      <c r="G333">
        <v>216</v>
      </c>
    </row>
    <row r="334" spans="1:7" x14ac:dyDescent="0.25">
      <c r="A334" t="s">
        <v>840</v>
      </c>
      <c r="B334" t="s">
        <v>209</v>
      </c>
      <c r="C334" t="s">
        <v>497</v>
      </c>
      <c r="D334" t="s">
        <v>512</v>
      </c>
      <c r="E334" s="2">
        <v>46091</v>
      </c>
      <c r="F334" t="s">
        <v>493</v>
      </c>
      <c r="G334">
        <v>196</v>
      </c>
    </row>
    <row r="335" spans="1:7" x14ac:dyDescent="0.25">
      <c r="A335" t="s">
        <v>841</v>
      </c>
      <c r="B335" t="s">
        <v>121</v>
      </c>
      <c r="C335" t="s">
        <v>495</v>
      </c>
      <c r="D335" t="s">
        <v>508</v>
      </c>
      <c r="E335" s="2">
        <v>46085</v>
      </c>
      <c r="F335" t="s">
        <v>493</v>
      </c>
      <c r="G335">
        <v>239</v>
      </c>
    </row>
    <row r="336" spans="1:7" x14ac:dyDescent="0.25">
      <c r="A336" t="s">
        <v>842</v>
      </c>
      <c r="B336" t="s">
        <v>100</v>
      </c>
      <c r="C336" t="s">
        <v>500</v>
      </c>
      <c r="D336" t="s">
        <v>512</v>
      </c>
      <c r="E336" s="2">
        <v>46087</v>
      </c>
      <c r="F336" t="s">
        <v>493</v>
      </c>
      <c r="G336">
        <v>158</v>
      </c>
    </row>
    <row r="337" spans="1:7" x14ac:dyDescent="0.25">
      <c r="A337" t="s">
        <v>843</v>
      </c>
      <c r="B337" t="s">
        <v>164</v>
      </c>
      <c r="C337" t="s">
        <v>500</v>
      </c>
      <c r="D337" t="s">
        <v>523</v>
      </c>
      <c r="E337" s="2">
        <v>46098</v>
      </c>
      <c r="F337" t="s">
        <v>493</v>
      </c>
      <c r="G337">
        <v>240</v>
      </c>
    </row>
    <row r="338" spans="1:7" x14ac:dyDescent="0.25">
      <c r="A338" t="s">
        <v>844</v>
      </c>
      <c r="B338" t="s">
        <v>58</v>
      </c>
      <c r="C338" t="s">
        <v>500</v>
      </c>
      <c r="D338" t="s">
        <v>523</v>
      </c>
      <c r="E338" s="2">
        <v>46092</v>
      </c>
      <c r="F338" t="s">
        <v>502</v>
      </c>
      <c r="G338">
        <v>298</v>
      </c>
    </row>
    <row r="339" spans="1:7" x14ac:dyDescent="0.25">
      <c r="A339" t="s">
        <v>845</v>
      </c>
      <c r="B339" t="s">
        <v>64</v>
      </c>
      <c r="C339" t="s">
        <v>491</v>
      </c>
      <c r="D339" t="s">
        <v>498</v>
      </c>
      <c r="E339" s="2">
        <v>46102</v>
      </c>
      <c r="F339" t="s">
        <v>502</v>
      </c>
      <c r="G339">
        <v>256</v>
      </c>
    </row>
    <row r="340" spans="1:7" x14ac:dyDescent="0.25">
      <c r="A340" t="s">
        <v>846</v>
      </c>
      <c r="B340" t="s">
        <v>40</v>
      </c>
      <c r="C340" t="s">
        <v>491</v>
      </c>
      <c r="D340" t="s">
        <v>501</v>
      </c>
      <c r="E340" s="2">
        <v>46096</v>
      </c>
      <c r="F340" t="s">
        <v>493</v>
      </c>
      <c r="G340">
        <v>191</v>
      </c>
    </row>
    <row r="341" spans="1:7" x14ac:dyDescent="0.25">
      <c r="A341" t="s">
        <v>847</v>
      </c>
      <c r="B341" t="s">
        <v>177</v>
      </c>
      <c r="C341" t="s">
        <v>497</v>
      </c>
      <c r="D341" t="s">
        <v>498</v>
      </c>
      <c r="E341" s="2">
        <v>46091</v>
      </c>
      <c r="F341" t="s">
        <v>506</v>
      </c>
      <c r="G341">
        <v>91</v>
      </c>
    </row>
    <row r="342" spans="1:7" x14ac:dyDescent="0.25">
      <c r="A342" t="s">
        <v>848</v>
      </c>
      <c r="B342" t="s">
        <v>153</v>
      </c>
      <c r="C342" t="s">
        <v>491</v>
      </c>
      <c r="D342" t="s">
        <v>523</v>
      </c>
      <c r="E342" s="2">
        <v>46108</v>
      </c>
      <c r="F342" t="s">
        <v>506</v>
      </c>
      <c r="G342">
        <v>84</v>
      </c>
    </row>
    <row r="343" spans="1:7" x14ac:dyDescent="0.25">
      <c r="A343" t="s">
        <v>849</v>
      </c>
      <c r="B343" t="s">
        <v>209</v>
      </c>
      <c r="C343" t="s">
        <v>491</v>
      </c>
      <c r="D343" t="s">
        <v>523</v>
      </c>
      <c r="E343" s="2">
        <v>46089</v>
      </c>
      <c r="F343" t="s">
        <v>506</v>
      </c>
      <c r="G343">
        <v>74</v>
      </c>
    </row>
    <row r="344" spans="1:7" x14ac:dyDescent="0.25">
      <c r="A344" t="s">
        <v>850</v>
      </c>
      <c r="B344" t="s">
        <v>66</v>
      </c>
      <c r="C344" t="s">
        <v>504</v>
      </c>
      <c r="D344" t="s">
        <v>492</v>
      </c>
      <c r="E344" s="2">
        <v>46110</v>
      </c>
      <c r="F344" t="s">
        <v>493</v>
      </c>
      <c r="G344">
        <v>131</v>
      </c>
    </row>
    <row r="345" spans="1:7" x14ac:dyDescent="0.25">
      <c r="A345" t="s">
        <v>851</v>
      </c>
      <c r="B345" t="s">
        <v>22</v>
      </c>
      <c r="C345" t="s">
        <v>500</v>
      </c>
      <c r="D345" t="s">
        <v>523</v>
      </c>
      <c r="E345" s="2">
        <v>46109</v>
      </c>
      <c r="F345" t="s">
        <v>502</v>
      </c>
      <c r="G345">
        <v>67</v>
      </c>
    </row>
    <row r="346" spans="1:7" x14ac:dyDescent="0.25">
      <c r="A346" t="s">
        <v>852</v>
      </c>
      <c r="B346" t="s">
        <v>162</v>
      </c>
      <c r="C346" t="s">
        <v>495</v>
      </c>
      <c r="D346" t="s">
        <v>512</v>
      </c>
      <c r="E346" s="2">
        <v>46102</v>
      </c>
      <c r="F346" t="s">
        <v>506</v>
      </c>
      <c r="G346">
        <v>169</v>
      </c>
    </row>
    <row r="347" spans="1:7" x14ac:dyDescent="0.25">
      <c r="A347" t="s">
        <v>853</v>
      </c>
      <c r="B347" t="s">
        <v>26</v>
      </c>
      <c r="C347" t="s">
        <v>491</v>
      </c>
      <c r="D347" t="s">
        <v>498</v>
      </c>
      <c r="E347" s="2">
        <v>46089</v>
      </c>
      <c r="F347" t="s">
        <v>502</v>
      </c>
      <c r="G347">
        <v>165</v>
      </c>
    </row>
    <row r="348" spans="1:7" x14ac:dyDescent="0.25">
      <c r="A348" t="s">
        <v>854</v>
      </c>
      <c r="B348" t="s">
        <v>134</v>
      </c>
      <c r="C348" t="s">
        <v>500</v>
      </c>
      <c r="D348" t="s">
        <v>492</v>
      </c>
      <c r="E348" s="2">
        <v>46094</v>
      </c>
      <c r="F348" t="s">
        <v>493</v>
      </c>
      <c r="G348">
        <v>147</v>
      </c>
    </row>
    <row r="349" spans="1:7" x14ac:dyDescent="0.25">
      <c r="A349" t="s">
        <v>855</v>
      </c>
      <c r="B349" t="s">
        <v>136</v>
      </c>
      <c r="C349" t="s">
        <v>491</v>
      </c>
      <c r="D349" t="s">
        <v>515</v>
      </c>
      <c r="E349" s="2">
        <v>46095</v>
      </c>
      <c r="F349" t="s">
        <v>493</v>
      </c>
      <c r="G349">
        <v>166</v>
      </c>
    </row>
    <row r="350" spans="1:7" x14ac:dyDescent="0.25">
      <c r="A350" t="s">
        <v>856</v>
      </c>
      <c r="B350" t="s">
        <v>186</v>
      </c>
      <c r="C350" t="s">
        <v>491</v>
      </c>
      <c r="D350" t="s">
        <v>521</v>
      </c>
      <c r="E350" s="2">
        <v>46090</v>
      </c>
      <c r="F350" t="s">
        <v>502</v>
      </c>
      <c r="G350">
        <v>242</v>
      </c>
    </row>
    <row r="351" spans="1:7" x14ac:dyDescent="0.25">
      <c r="A351" t="s">
        <v>860</v>
      </c>
      <c r="B351" t="s">
        <v>88</v>
      </c>
      <c r="C351" t="s">
        <v>497</v>
      </c>
      <c r="D351" t="s">
        <v>498</v>
      </c>
      <c r="E351" s="2">
        <v>46100</v>
      </c>
      <c r="F351" t="s">
        <v>493</v>
      </c>
      <c r="G351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patient_data_formula</vt:lpstr>
      <vt:lpstr>appointment_formula</vt:lpstr>
      <vt:lpstr>patient_data</vt:lpstr>
      <vt:lpstr>appointment_data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Ballesteros</dc:creator>
  <cp:lastModifiedBy>Clark Ballesteros</cp:lastModifiedBy>
  <dcterms:created xsi:type="dcterms:W3CDTF">2026-03-18T01:36:25Z</dcterms:created>
  <dcterms:modified xsi:type="dcterms:W3CDTF">2026-03-18T04:01:41Z</dcterms:modified>
</cp:coreProperties>
</file>